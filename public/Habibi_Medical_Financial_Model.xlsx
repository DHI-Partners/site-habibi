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Overview" sheetId="1" state="visible" r:id="rId1"/>
    <sheet xmlns:r="http://schemas.openxmlformats.org/officeDocument/2006/relationships" name="Financial Model (P&amp;L)" sheetId="2" state="visible" r:id="rId2"/>
    <sheet xmlns:r="http://schemas.openxmlformats.org/officeDocument/2006/relationships" name="Unit Economics &amp; Tariff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0.0x"/>
    <numFmt numFmtId="166" formatCode="0.0%"/>
    <numFmt numFmtId="167" formatCode="$#,##0;($#,##0);&quot;-&quot;"/>
    <numFmt numFmtId="168" formatCode="#,##0 мес"/>
    <numFmt numFmtId="169" formatCode="0.0 мес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i val="1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4" fillId="3" borderId="1" pivotButton="0" quotePrefix="0" xfId="0"/>
    <xf numFmtId="164" fontId="4" fillId="3" borderId="1" applyAlignment="1" pivotButton="0" quotePrefix="0" xfId="0">
      <alignment horizontal="right" vertical="center"/>
    </xf>
    <xf numFmtId="0" fontId="5" fillId="3" borderId="1" pivotButton="0" quotePrefix="0" xfId="0"/>
    <xf numFmtId="0" fontId="4" fillId="0" borderId="1" pivotButton="0" quotePrefix="0" xfId="0"/>
    <xf numFmtId="164" fontId="4" fillId="0" borderId="1" applyAlignment="1" pivotButton="0" quotePrefix="0" xfId="0">
      <alignment horizontal="right" vertical="center"/>
    </xf>
    <xf numFmtId="0" fontId="5" fillId="0" borderId="1" pivotButton="0" quotePrefix="0" xfId="0"/>
    <xf numFmtId="164" fontId="5" fillId="3" borderId="1" applyAlignment="1" pivotButton="0" quotePrefix="0" xfId="0">
      <alignment horizontal="right" vertical="center"/>
    </xf>
    <xf numFmtId="0" fontId="6" fillId="3" borderId="1" pivotButton="0" quotePrefix="0" xfId="0"/>
    <xf numFmtId="49" fontId="4" fillId="0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6" fillId="0" borderId="1" pivotButton="0" quotePrefix="0" xfId="0"/>
    <xf numFmtId="165" fontId="4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4" fillId="4" borderId="1" pivotButton="0" quotePrefix="0" xfId="0"/>
    <xf numFmtId="166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2" fillId="4" borderId="0" pivotButton="0" quotePrefix="0" xfId="0"/>
    <xf numFmtId="0" fontId="0" fillId="4" borderId="0" pivotButton="0" quotePrefix="0" xfId="0"/>
    <xf numFmtId="3" fontId="4" fillId="0" borderId="1" applyAlignment="1" pivotButton="0" quotePrefix="0" xfId="0">
      <alignment horizontal="right" vertical="center"/>
    </xf>
    <xf numFmtId="0" fontId="0" fillId="0" borderId="1" pivotButton="0" quotePrefix="0" xfId="0"/>
    <xf numFmtId="167" fontId="4" fillId="3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169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53" customWidth="1" min="3" max="3"/>
    <col width="65" customWidth="1" min="4" max="4"/>
  </cols>
  <sheetData>
    <row r="1">
      <c r="A1" s="1" t="inlineStr">
        <is>
          <t>Habibi Medical — Сводный Финансовый Обзор (Pre-Seed $200,000)</t>
        </is>
      </c>
    </row>
    <row r="2"/>
    <row r="3">
      <c r="A3" s="2" t="inlineStr">
        <is>
          <t>1. Ключевые метрики раунда и бизнеса</t>
        </is>
      </c>
    </row>
    <row r="4">
      <c r="A4" s="3" t="inlineStr">
        <is>
          <t>Показатель</t>
        </is>
      </c>
      <c r="B4" s="4" t="inlineStr">
        <is>
          <t>Значение</t>
        </is>
      </c>
      <c r="C4" s="3" t="inlineStr">
        <is>
          <t>Описание / Комментарий</t>
        </is>
      </c>
    </row>
    <row r="5">
      <c r="A5" s="5" t="inlineStr">
        <is>
          <t>Привлекаемый инвестиционный раунд</t>
        </is>
      </c>
      <c r="B5" s="6" t="n">
        <v>200000</v>
      </c>
      <c r="C5" s="7" t="inlineStr">
        <is>
          <t>Pre-Seed (Запас хода / Runway 12–15 месяцев)</t>
        </is>
      </c>
    </row>
    <row r="6">
      <c r="A6" s="8" t="inlineStr">
        <is>
          <t>Целевая регулярная выручка в месяц (MRR, Месяц 12)</t>
        </is>
      </c>
      <c r="B6" s="9" t="n">
        <v>15050</v>
      </c>
      <c r="C6" s="10" t="inlineStr">
        <is>
          <t>Ежемесячный доход от подписок клиник</t>
        </is>
      </c>
    </row>
    <row r="7">
      <c r="A7" s="7" t="inlineStr">
        <is>
          <t>Целевой годовой темп выручки (ARR, Месяц 12)</t>
        </is>
      </c>
      <c r="B7" s="11" t="n">
        <v>18060</v>
      </c>
      <c r="C7" s="12" t="inlineStr">
        <is>
          <t>Годовой темп регулярной выручки к концу 1-го года</t>
        </is>
      </c>
    </row>
    <row r="8">
      <c r="A8" s="8" t="inlineStr">
        <is>
          <t>Точка безубыточности (Breakeven)</t>
        </is>
      </c>
      <c r="B8" s="13" t="inlineStr">
        <is>
          <t>Месяц 10</t>
        </is>
      </c>
      <c r="C8" s="10" t="inlineStr">
        <is>
          <t>Первый месяц с положительной чистой прибылью</t>
        </is>
      </c>
    </row>
    <row r="9">
      <c r="A9" s="7" t="inlineStr">
        <is>
          <t>Количество платящих клиник (Месяц 12)</t>
        </is>
      </c>
      <c r="B9" s="14" t="n">
        <v>70</v>
      </c>
      <c r="C9" s="12" t="inlineStr">
        <is>
          <t>Подключенные коммерческие медицинские центры</t>
        </is>
      </c>
    </row>
    <row r="10">
      <c r="A10" s="10" t="inlineStr">
        <is>
          <t>Средний чек на клинику в месяц (ARPU)</t>
        </is>
      </c>
      <c r="B10" s="15" t="n">
        <v>250</v>
      </c>
      <c r="C10" s="16" t="inlineStr">
        <is>
          <t>Подписка Habibi+ / Premium + услуги внедрения</t>
        </is>
      </c>
    </row>
    <row r="11">
      <c r="A11" s="7" t="inlineStr">
        <is>
          <t>Пожизненная ценность клиента (LTV)</t>
        </is>
      </c>
      <c r="B11" s="11" t="n">
        <v>9000</v>
      </c>
      <c r="C11" s="12" t="inlineStr">
        <is>
          <t>Ценность клиента за 36 месяцев работы ($250 × 36)</t>
        </is>
      </c>
    </row>
    <row r="12">
      <c r="A12" s="10" t="inlineStr">
        <is>
          <t>Стоимость привлечения клиники (CAC)</t>
        </is>
      </c>
      <c r="B12" s="15" t="n">
        <v>1640</v>
      </c>
      <c r="C12" s="16" t="inlineStr">
        <is>
          <t>Все затраты на маркетинг и продажи на 1 клинику</t>
        </is>
      </c>
    </row>
    <row r="13">
      <c r="A13" s="5" t="inlineStr">
        <is>
          <t>Соотношение LTV / CAC</t>
        </is>
      </c>
      <c r="B13" s="17" t="n">
        <v>5.488</v>
      </c>
      <c r="C13" s="7" t="inlineStr">
        <is>
          <t>Отличный показатель эффективности B2B SaaS (&gt;3.0x)</t>
        </is>
      </c>
    </row>
    <row r="14"/>
    <row r="15">
      <c r="A15" s="2" t="inlineStr">
        <is>
          <t>2. Распределение Инвестиционного Раунда ($200,000)</t>
        </is>
      </c>
    </row>
    <row r="16">
      <c r="A16" s="3" t="inlineStr">
        <is>
          <t>Направление расходования</t>
        </is>
      </c>
      <c r="B16" s="4" t="inlineStr">
        <is>
          <t>Доля (%)</t>
        </is>
      </c>
      <c r="C16" s="4" t="inlineStr">
        <is>
          <t>Сумма ($)</t>
        </is>
      </c>
      <c r="D16" s="3" t="inlineStr">
        <is>
          <t>Детализация и состав</t>
        </is>
      </c>
    </row>
    <row r="17">
      <c r="A17" s="7" t="inlineStr">
        <is>
          <t>ФОТ R&amp;D (Разработка и Продукт)</t>
        </is>
      </c>
      <c r="B17" s="18" t="n">
        <v>0.45</v>
      </c>
      <c r="C17" s="11" t="n">
        <v>90000</v>
      </c>
      <c r="D17" s="7" t="inlineStr">
        <is>
          <t>$7,500/мес: Lead Dev ($3.5k), Mid Dev ($2k), UI/UX ($1k), QA ($1k)</t>
        </is>
      </c>
    </row>
    <row r="18">
      <c r="A18" s="10" t="inlineStr">
        <is>
          <t>ФОТ Sales &amp; Success (Продажи)</t>
        </is>
      </c>
      <c r="B18" s="19" t="n">
        <v>0.2</v>
      </c>
      <c r="C18" s="15" t="n">
        <v>40000</v>
      </c>
      <c r="D18" s="10" t="inlineStr">
        <is>
          <t>Head of Sales ($1.8k/мес) + Выездной специалист по онбордингу ($1.2k/мес)</t>
        </is>
      </c>
    </row>
    <row r="19">
      <c r="A19" s="7" t="inlineStr">
        <is>
          <t>Маркетинг, B2B LeadGen &amp; Выставки</t>
        </is>
      </c>
      <c r="B19" s="18" t="n">
        <v>0.14</v>
      </c>
      <c r="C19" s="11" t="n">
        <v>28000</v>
      </c>
      <c r="D19" s="7" t="inlineStr">
        <is>
          <t>Прямые B2B-продажи, профильные медицинские форумы СНГ, реклама</t>
        </is>
      </c>
    </row>
    <row r="20">
      <c r="A20" s="10" t="inlineStr">
        <is>
          <t>Юридическое сопровождение &amp; Резерв</t>
        </is>
      </c>
      <c r="B20" s="19" t="n">
        <v>0.08</v>
      </c>
      <c r="C20" s="15" t="n">
        <v>16000</v>
      </c>
      <c r="D20" s="10" t="inlineStr">
        <is>
          <t>Оформление SAFE/Convertible Note, защита данных пациентов (GDPR/СНГ)</t>
        </is>
      </c>
    </row>
    <row r="21">
      <c r="A21" s="7" t="inlineStr">
        <is>
          <t>Инфраструктура &amp; Защищенные серверы</t>
        </is>
      </c>
      <c r="B21" s="18" t="n">
        <v>0.07000000000000001</v>
      </c>
      <c r="C21" s="11" t="n">
        <v>14000</v>
      </c>
      <c r="D21" s="7" t="inlineStr">
        <is>
          <t>Облачные серверы с шифрованием медицинских данных</t>
        </is>
      </c>
    </row>
    <row r="22">
      <c r="A22" s="10" t="inlineStr">
        <is>
          <t>ФОТ Операционный (Администрирование)</t>
        </is>
      </c>
      <c r="B22" s="19" t="n">
        <v>0.06</v>
      </c>
      <c r="C22" s="15" t="n">
        <v>12000</v>
      </c>
      <c r="D22" s="10" t="inlineStr">
        <is>
          <t>Аутсорсинг бухгалтерии, юридический и административный учет</t>
        </is>
      </c>
    </row>
    <row r="23">
      <c r="A23" s="20" t="inlineStr">
        <is>
          <t>Итого расходование капитала</t>
        </is>
      </c>
      <c r="B23" s="21">
        <f>SUM(B17:B22)</f>
        <v/>
      </c>
      <c r="C23" s="22">
        <f>SUM(C17:C22)</f>
        <v/>
      </c>
      <c r="D23" s="20" t="inlineStr">
        <is>
          <t>Полное покрытие затрат компании на 12–15 месяцев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Habibi Medical — Помесячная Финансовая Модель (P&amp;L на 12 Месяцев)</t>
        </is>
      </c>
    </row>
    <row r="3">
      <c r="A3" s="3" t="inlineStr">
        <is>
          <t>Статья / Месяц</t>
        </is>
      </c>
      <c r="B3" s="23" t="inlineStr">
        <is>
          <t>Месяц 1</t>
        </is>
      </c>
      <c r="C3" s="23" t="inlineStr">
        <is>
          <t>Месяц 2</t>
        </is>
      </c>
      <c r="D3" s="23" t="inlineStr">
        <is>
          <t>Месяц 3</t>
        </is>
      </c>
      <c r="E3" s="23" t="inlineStr">
        <is>
          <t>Месяц 4</t>
        </is>
      </c>
      <c r="F3" s="23" t="inlineStr">
        <is>
          <t>Месяц 5</t>
        </is>
      </c>
      <c r="G3" s="23" t="inlineStr">
        <is>
          <t>Месяц 6</t>
        </is>
      </c>
      <c r="H3" s="23" t="inlineStr">
        <is>
          <t>Месяц 7</t>
        </is>
      </c>
      <c r="I3" s="23" t="inlineStr">
        <is>
          <t>Месяц 8</t>
        </is>
      </c>
      <c r="J3" s="23" t="inlineStr">
        <is>
          <t>Месяц 9</t>
        </is>
      </c>
      <c r="K3" s="23" t="inlineStr">
        <is>
          <t>Месяц 10</t>
        </is>
      </c>
      <c r="L3" s="23" t="inlineStr">
        <is>
          <t>Месяц 11</t>
        </is>
      </c>
      <c r="M3" s="23" t="inlineStr">
        <is>
          <t>Месяц 12</t>
        </is>
      </c>
      <c r="N3" s="23" t="inlineStr">
        <is>
          <t>Итого (1 Год)</t>
        </is>
      </c>
    </row>
    <row r="4">
      <c r="A4" s="24" t="inlineStr">
        <is>
          <t>1. КЛИЕНТЫ И МЕТРИКИ РОСТА</t>
        </is>
      </c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</row>
    <row r="5">
      <c r="A5" s="8" t="inlineStr">
        <is>
          <t>Платящие клиники (на конец месяца)</t>
        </is>
      </c>
      <c r="B5" s="26" t="n">
        <v>2</v>
      </c>
      <c r="C5" s="26" t="n">
        <v>4</v>
      </c>
      <c r="D5" s="26" t="n">
        <v>7</v>
      </c>
      <c r="E5" s="26" t="n">
        <v>12</v>
      </c>
      <c r="F5" s="26" t="n">
        <v>18</v>
      </c>
      <c r="G5" s="26" t="n">
        <v>25</v>
      </c>
      <c r="H5" s="26" t="n">
        <v>32</v>
      </c>
      <c r="I5" s="26" t="n">
        <v>40</v>
      </c>
      <c r="J5" s="26" t="n">
        <v>48</v>
      </c>
      <c r="K5" s="26" t="n">
        <v>55</v>
      </c>
      <c r="L5" s="26" t="n">
        <v>62</v>
      </c>
      <c r="M5" s="26" t="n">
        <v>70</v>
      </c>
      <c r="N5" s="26">
        <f>M5</f>
        <v/>
      </c>
    </row>
    <row r="6">
      <c r="A6" s="27" t="n"/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</row>
    <row r="7">
      <c r="A7" s="24" t="inlineStr">
        <is>
          <t>2. ВЫРУЧКА (REVENUE)</t>
        </is>
      </c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</row>
    <row r="8">
      <c r="A8" s="10" t="inlineStr">
        <is>
          <t>SaaS-подписки (Habibi+ / Premium)</t>
        </is>
      </c>
      <c r="B8" s="15" t="n">
        <v>430</v>
      </c>
      <c r="C8" s="15" t="n">
        <v>860</v>
      </c>
      <c r="D8" s="15" t="n">
        <v>1505</v>
      </c>
      <c r="E8" s="15" t="n">
        <v>2580</v>
      </c>
      <c r="F8" s="15" t="n">
        <v>3870</v>
      </c>
      <c r="G8" s="15" t="n">
        <v>5375</v>
      </c>
      <c r="H8" s="15" t="n">
        <v>6880</v>
      </c>
      <c r="I8" s="15" t="n">
        <v>8600</v>
      </c>
      <c r="J8" s="15" t="n">
        <v>10320</v>
      </c>
      <c r="K8" s="15" t="n">
        <v>11825</v>
      </c>
      <c r="L8" s="15" t="n">
        <v>13330</v>
      </c>
      <c r="M8" s="15" t="n">
        <v>15050</v>
      </c>
      <c r="N8" s="9">
        <f>SUM(B8:M8)</f>
        <v/>
      </c>
    </row>
    <row r="9">
      <c r="A9" s="10" t="inlineStr">
        <is>
          <t>Услуги настройки и онбординга (Onboarding)</t>
        </is>
      </c>
      <c r="B9" s="15" t="n">
        <v>1000</v>
      </c>
      <c r="C9" s="15" t="n">
        <v>1000</v>
      </c>
      <c r="D9" s="15" t="n">
        <v>1500</v>
      </c>
      <c r="E9" s="15" t="n">
        <v>2500</v>
      </c>
      <c r="F9" s="15" t="n">
        <v>3000</v>
      </c>
      <c r="G9" s="15" t="n">
        <v>3500</v>
      </c>
      <c r="H9" s="15" t="n">
        <v>3500</v>
      </c>
      <c r="I9" s="15" t="n">
        <v>4000</v>
      </c>
      <c r="J9" s="15" t="n">
        <v>4000</v>
      </c>
      <c r="K9" s="15" t="n">
        <v>3500</v>
      </c>
      <c r="L9" s="15" t="n">
        <v>3500</v>
      </c>
      <c r="M9" s="15" t="n">
        <v>4000</v>
      </c>
      <c r="N9" s="9">
        <f>SUM(B9:M9)</f>
        <v/>
      </c>
    </row>
    <row r="10">
      <c r="A10" s="5" t="inlineStr">
        <is>
          <t>Валовая выручка (Gross Revenue)</t>
        </is>
      </c>
      <c r="B10" s="6">
        <f>SUM(B8:B9)</f>
        <v/>
      </c>
      <c r="C10" s="6">
        <f>SUM(C8:C9)</f>
        <v/>
      </c>
      <c r="D10" s="6">
        <f>SUM(D8:D9)</f>
        <v/>
      </c>
      <c r="E10" s="6">
        <f>SUM(E8:E9)</f>
        <v/>
      </c>
      <c r="F10" s="6">
        <f>SUM(F8:F9)</f>
        <v/>
      </c>
      <c r="G10" s="6">
        <f>SUM(G8:G9)</f>
        <v/>
      </c>
      <c r="H10" s="6">
        <f>SUM(H8:H9)</f>
        <v/>
      </c>
      <c r="I10" s="6">
        <f>SUM(I8:I9)</f>
        <v/>
      </c>
      <c r="J10" s="6">
        <f>SUM(J8:J9)</f>
        <v/>
      </c>
      <c r="K10" s="6">
        <f>SUM(K8:K9)</f>
        <v/>
      </c>
      <c r="L10" s="6">
        <f>SUM(L8:L9)</f>
        <v/>
      </c>
      <c r="M10" s="6">
        <f>SUM(M8:M9)</f>
        <v/>
      </c>
      <c r="N10" s="6">
        <f>SUM(N8:N9)</f>
        <v/>
      </c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</row>
    <row r="12">
      <c r="A12" s="24" t="inlineStr">
        <is>
          <t>3. ОПЕРАЦИОННЫЕ РАСХОДЫ (OPEX)</t>
        </is>
      </c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</row>
    <row r="13">
      <c r="A13" s="10" t="inlineStr">
        <is>
          <t>ФОТ R&amp;D (Разработка и Продукт)</t>
        </is>
      </c>
      <c r="B13" s="15" t="n">
        <v>7500</v>
      </c>
      <c r="C13" s="15" t="n">
        <v>7500</v>
      </c>
      <c r="D13" s="15" t="n">
        <v>7500</v>
      </c>
      <c r="E13" s="15" t="n">
        <v>7500</v>
      </c>
      <c r="F13" s="15" t="n">
        <v>7500</v>
      </c>
      <c r="G13" s="15" t="n">
        <v>7500</v>
      </c>
      <c r="H13" s="15" t="n">
        <v>7500</v>
      </c>
      <c r="I13" s="15" t="n">
        <v>7500</v>
      </c>
      <c r="J13" s="15" t="n">
        <v>7500</v>
      </c>
      <c r="K13" s="15" t="n">
        <v>7500</v>
      </c>
      <c r="L13" s="15" t="n">
        <v>7500</v>
      </c>
      <c r="M13" s="15" t="n">
        <v>7500</v>
      </c>
      <c r="N13" s="9">
        <f>SUM(B13:M13)</f>
        <v/>
      </c>
    </row>
    <row r="14">
      <c r="A14" s="10" t="inlineStr">
        <is>
          <t>ФОТ Sales &amp; Success (Продажи и онбординг)</t>
        </is>
      </c>
      <c r="B14" s="15" t="n">
        <v>3330</v>
      </c>
      <c r="C14" s="15" t="n">
        <v>3330</v>
      </c>
      <c r="D14" s="15" t="n">
        <v>3330</v>
      </c>
      <c r="E14" s="15" t="n">
        <v>3330</v>
      </c>
      <c r="F14" s="15" t="n">
        <v>3330</v>
      </c>
      <c r="G14" s="15" t="n">
        <v>3330</v>
      </c>
      <c r="H14" s="15" t="n">
        <v>3330</v>
      </c>
      <c r="I14" s="15" t="n">
        <v>3330</v>
      </c>
      <c r="J14" s="15" t="n">
        <v>3330</v>
      </c>
      <c r="K14" s="15" t="n">
        <v>3330</v>
      </c>
      <c r="L14" s="15" t="n">
        <v>3330</v>
      </c>
      <c r="M14" s="15" t="n">
        <v>3370</v>
      </c>
      <c r="N14" s="9">
        <f>SUM(B14:M14)</f>
        <v/>
      </c>
    </row>
    <row r="15">
      <c r="A15" s="10" t="inlineStr">
        <is>
          <t>ФОТ Операционный (Административный)</t>
        </is>
      </c>
      <c r="B15" s="15" t="n">
        <v>1000</v>
      </c>
      <c r="C15" s="15" t="n">
        <v>1000</v>
      </c>
      <c r="D15" s="15" t="n">
        <v>1000</v>
      </c>
      <c r="E15" s="15" t="n">
        <v>1000</v>
      </c>
      <c r="F15" s="15" t="n">
        <v>1000</v>
      </c>
      <c r="G15" s="15" t="n">
        <v>1000</v>
      </c>
      <c r="H15" s="15" t="n">
        <v>1000</v>
      </c>
      <c r="I15" s="15" t="n">
        <v>1000</v>
      </c>
      <c r="J15" s="15" t="n">
        <v>1000</v>
      </c>
      <c r="K15" s="15" t="n">
        <v>1000</v>
      </c>
      <c r="L15" s="15" t="n">
        <v>1000</v>
      </c>
      <c r="M15" s="15" t="n">
        <v>1000</v>
      </c>
      <c r="N15" s="9">
        <f>SUM(B15:M15)</f>
        <v/>
      </c>
    </row>
    <row r="16">
      <c r="A16" s="10" t="inlineStr">
        <is>
          <t>Маркетинг &amp; B2B LeadGen</t>
        </is>
      </c>
      <c r="B16" s="15" t="n">
        <v>2000</v>
      </c>
      <c r="C16" s="15" t="n">
        <v>2000</v>
      </c>
      <c r="D16" s="15" t="n">
        <v>2350</v>
      </c>
      <c r="E16" s="15" t="n">
        <v>2350</v>
      </c>
      <c r="F16" s="15" t="n">
        <v>2350</v>
      </c>
      <c r="G16" s="15" t="n">
        <v>2350</v>
      </c>
      <c r="H16" s="15" t="n">
        <v>2350</v>
      </c>
      <c r="I16" s="15" t="n">
        <v>2350</v>
      </c>
      <c r="J16" s="15" t="n">
        <v>2350</v>
      </c>
      <c r="K16" s="15" t="n">
        <v>2350</v>
      </c>
      <c r="L16" s="15" t="n">
        <v>2350</v>
      </c>
      <c r="M16" s="15" t="n">
        <v>2850</v>
      </c>
      <c r="N16" s="9">
        <f>SUM(B16:M16)</f>
        <v/>
      </c>
    </row>
    <row r="17">
      <c r="A17" s="10" t="inlineStr">
        <is>
          <t>Инфраструктура &amp; Защищенные серверы</t>
        </is>
      </c>
      <c r="B17" s="15" t="n">
        <v>1100</v>
      </c>
      <c r="C17" s="15" t="n">
        <v>1100</v>
      </c>
      <c r="D17" s="15" t="n">
        <v>1100</v>
      </c>
      <c r="E17" s="15" t="n">
        <v>1100</v>
      </c>
      <c r="F17" s="15" t="n">
        <v>1150</v>
      </c>
      <c r="G17" s="15" t="n">
        <v>1150</v>
      </c>
      <c r="H17" s="15" t="n">
        <v>1150</v>
      </c>
      <c r="I17" s="15" t="n">
        <v>1200</v>
      </c>
      <c r="J17" s="15" t="n">
        <v>1200</v>
      </c>
      <c r="K17" s="15" t="n">
        <v>1250</v>
      </c>
      <c r="L17" s="15" t="n">
        <v>1250</v>
      </c>
      <c r="M17" s="15" t="n">
        <v>1450</v>
      </c>
      <c r="N17" s="9">
        <f>SUM(B17:M17)</f>
        <v/>
      </c>
    </row>
    <row r="18">
      <c r="A18" s="10" t="inlineStr">
        <is>
          <t>Юридическое сопровождение &amp; Резерв</t>
        </is>
      </c>
      <c r="B18" s="15" t="n">
        <v>1330</v>
      </c>
      <c r="C18" s="15" t="n">
        <v>1330</v>
      </c>
      <c r="D18" s="15" t="n">
        <v>1330</v>
      </c>
      <c r="E18" s="15" t="n">
        <v>1330</v>
      </c>
      <c r="F18" s="15" t="n">
        <v>1330</v>
      </c>
      <c r="G18" s="15" t="n">
        <v>1330</v>
      </c>
      <c r="H18" s="15" t="n">
        <v>1330</v>
      </c>
      <c r="I18" s="15" t="n">
        <v>1330</v>
      </c>
      <c r="J18" s="15" t="n">
        <v>1330</v>
      </c>
      <c r="K18" s="15" t="n">
        <v>1330</v>
      </c>
      <c r="L18" s="15" t="n">
        <v>1330</v>
      </c>
      <c r="M18" s="15" t="n">
        <v>1370</v>
      </c>
      <c r="N18" s="9">
        <f>SUM(B18:M18)</f>
        <v/>
      </c>
    </row>
    <row r="19">
      <c r="A19" s="5" t="inlineStr">
        <is>
          <t>Итого OPEX</t>
        </is>
      </c>
      <c r="B19" s="6">
        <f>SUM(B13:B18)</f>
        <v/>
      </c>
      <c r="C19" s="6">
        <f>SUM(C13:C18)</f>
        <v/>
      </c>
      <c r="D19" s="6">
        <f>SUM(D13:D18)</f>
        <v/>
      </c>
      <c r="E19" s="6">
        <f>SUM(E13:E18)</f>
        <v/>
      </c>
      <c r="F19" s="6">
        <f>SUM(F13:F18)</f>
        <v/>
      </c>
      <c r="G19" s="6">
        <f>SUM(G13:G18)</f>
        <v/>
      </c>
      <c r="H19" s="6">
        <f>SUM(H13:H18)</f>
        <v/>
      </c>
      <c r="I19" s="6">
        <f>SUM(I13:I18)</f>
        <v/>
      </c>
      <c r="J19" s="6">
        <f>SUM(J13:J18)</f>
        <v/>
      </c>
      <c r="K19" s="6">
        <f>SUM(K13:K18)</f>
        <v/>
      </c>
      <c r="L19" s="6">
        <f>SUM(L13:L18)</f>
        <v/>
      </c>
      <c r="M19" s="6">
        <f>SUM(M13:M18)</f>
        <v/>
      </c>
      <c r="N19" s="6">
        <f>SUM(N13:N18)</f>
        <v/>
      </c>
    </row>
    <row r="20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</row>
    <row r="21">
      <c r="A21" s="24" t="inlineStr">
        <is>
          <t>4. ФИНАНСОВЫЙ РЕЗУЛЬТАТ И CASH FLOW</t>
        </is>
      </c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</row>
    <row r="22">
      <c r="A22" s="5" t="inlineStr">
        <is>
          <t>Чистая прибыль / (Убыток)</t>
        </is>
      </c>
      <c r="B22" s="28">
        <f>B10-B19</f>
        <v/>
      </c>
      <c r="C22" s="28">
        <f>C10-C19</f>
        <v/>
      </c>
      <c r="D22" s="28">
        <f>D10-D19</f>
        <v/>
      </c>
      <c r="E22" s="28">
        <f>E10-E19</f>
        <v/>
      </c>
      <c r="F22" s="28">
        <f>F10-F19</f>
        <v/>
      </c>
      <c r="G22" s="28">
        <f>G10-G19</f>
        <v/>
      </c>
      <c r="H22" s="28">
        <f>H10-H19</f>
        <v/>
      </c>
      <c r="I22" s="28">
        <f>I10-I19</f>
        <v/>
      </c>
      <c r="J22" s="28">
        <f>J10-J19</f>
        <v/>
      </c>
      <c r="K22" s="28">
        <f>K10-K19</f>
        <v/>
      </c>
      <c r="L22" s="28">
        <f>L10-L19</f>
        <v/>
      </c>
      <c r="M22" s="28">
        <f>M10-M19</f>
        <v/>
      </c>
      <c r="N22" s="28">
        <f>N10-N19</f>
        <v/>
      </c>
    </row>
    <row r="23">
      <c r="A23" s="5" t="inlineStr">
        <is>
          <t>Остаток денежных средств на счете ($)</t>
        </is>
      </c>
      <c r="B23" s="6">
        <f>200000+B22</f>
        <v/>
      </c>
      <c r="C23" s="6">
        <f>B23+C22</f>
        <v/>
      </c>
      <c r="D23" s="6">
        <f>C23+D22</f>
        <v/>
      </c>
      <c r="E23" s="6">
        <f>D23+E22</f>
        <v/>
      </c>
      <c r="F23" s="6">
        <f>E23+F22</f>
        <v/>
      </c>
      <c r="G23" s="6">
        <f>F23+G22</f>
        <v/>
      </c>
      <c r="H23" s="6">
        <f>G23+H22</f>
        <v/>
      </c>
      <c r="I23" s="6">
        <f>H23+I22</f>
        <v/>
      </c>
      <c r="J23" s="6">
        <f>I23+J22</f>
        <v/>
      </c>
      <c r="K23" s="6">
        <f>J23+K22</f>
        <v/>
      </c>
      <c r="L23" s="6">
        <f>K23+L22</f>
        <v/>
      </c>
      <c r="M23" s="6">
        <f>L23+M22</f>
        <v/>
      </c>
      <c r="N23" s="6">
        <f>M23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35" customWidth="1" min="3" max="3"/>
    <col width="65" customWidth="1" min="4" max="4"/>
  </cols>
  <sheetData>
    <row r="1">
      <c r="A1" s="1" t="inlineStr">
        <is>
          <t>Habibi Medical — Тарифная Сетка и Юнит-Экономика</t>
        </is>
      </c>
    </row>
    <row r="3">
      <c r="A3" s="2" t="inlineStr">
        <is>
          <t>1. Тарифные планы платформы</t>
        </is>
      </c>
    </row>
    <row r="4">
      <c r="A4" s="3" t="inlineStr">
        <is>
          <t>Тарифный план</t>
        </is>
      </c>
      <c r="B4" s="3" t="inlineStr">
        <is>
          <t>Стоимость в месяц</t>
        </is>
      </c>
      <c r="C4" s="3" t="inlineStr">
        <is>
          <t>Целевая аудитория</t>
        </is>
      </c>
      <c r="D4" s="3" t="inlineStr">
        <is>
          <t>Включенный функционал</t>
        </is>
      </c>
    </row>
    <row r="5">
      <c r="A5" s="7" t="inlineStr">
        <is>
          <t>Habibi Free</t>
        </is>
      </c>
      <c r="B5" s="7" t="inlineStr">
        <is>
          <t>€0 / мес</t>
        </is>
      </c>
      <c r="C5" s="7" t="inlineStr">
        <is>
          <t>Частные кабинеты, доктора частной практики</t>
        </is>
      </c>
      <c r="D5" s="7" t="inlineStr">
        <is>
          <t>Базовое расписание, CRM пациентов (до 2 пользователей)</t>
        </is>
      </c>
    </row>
    <row r="6">
      <c r="A6" s="10" t="inlineStr">
        <is>
          <t>Habibi +</t>
        </is>
      </c>
      <c r="B6" s="10" t="inlineStr">
        <is>
          <t>€49 / мес</t>
        </is>
      </c>
      <c r="C6" s="10" t="inlineStr">
        <is>
          <t>Малые клиники, стоматологии, узкие центры</t>
        </is>
      </c>
      <c r="D6" s="10" t="inlineStr">
        <is>
          <t>Электронные медкарты, складской учет, авто-списание медикаментов</t>
        </is>
      </c>
    </row>
    <row r="7">
      <c r="A7" s="7" t="inlineStr">
        <is>
          <t>Habibi Premium</t>
        </is>
      </c>
      <c r="B7" s="7" t="inlineStr">
        <is>
          <t>€199 / мес</t>
        </is>
      </c>
      <c r="C7" s="7" t="inlineStr">
        <is>
          <t>Многопрофильные медицинские центры</t>
        </is>
      </c>
      <c r="D7" s="7" t="inlineStr">
        <is>
          <t>Все модули, интеграция с лабораториями, сквозной P&amp;L, неограниченно пользователей</t>
        </is>
      </c>
    </row>
    <row r="8">
      <c r="A8" s="10" t="inlineStr">
        <is>
          <t>Onboarding / Custom</t>
        </is>
      </c>
      <c r="B8" s="10" t="inlineStr">
        <is>
          <t>$2,000 – $5,000 (разово)</t>
        </is>
      </c>
      <c r="C8" s="10" t="inlineStr">
        <is>
          <t>Сети клиник и крупных диагностических центров</t>
        </is>
      </c>
      <c r="D8" s="10" t="inlineStr">
        <is>
          <t>Индивидуальные модули, перенос баз данных, выездное обучение персонала</t>
        </is>
      </c>
    </row>
    <row r="11">
      <c r="A11" s="2" t="inlineStr">
        <is>
          <t>2. Расчет Юнит-Экономики (Unit Economics)</t>
        </is>
      </c>
    </row>
    <row r="12">
      <c r="A12" s="3" t="inlineStr">
        <is>
          <t>Метрика</t>
        </is>
      </c>
      <c r="B12" s="4" t="inlineStr">
        <is>
          <t>Значение</t>
        </is>
      </c>
      <c r="C12" s="3" t="inlineStr">
        <is>
          <t>Формула / Расчет</t>
        </is>
      </c>
      <c r="D12" s="3" t="inlineStr">
        <is>
          <t>Пояснение</t>
        </is>
      </c>
    </row>
    <row r="13">
      <c r="A13" s="7" t="inlineStr">
        <is>
          <t>Средний чек в месяц (ARPU)</t>
        </is>
      </c>
      <c r="B13" s="11" t="n">
        <v>250</v>
      </c>
      <c r="C13" s="12" t="inlineStr">
        <is>
          <t>SaaS-подписка + Онбординг</t>
        </is>
      </c>
      <c r="D13" s="7" t="inlineStr">
        <is>
          <t>Средневзвешенный ежемесячный доход с одной клиники</t>
        </is>
      </c>
    </row>
    <row r="14">
      <c r="A14" s="10" t="inlineStr">
        <is>
          <t>Средний срок жизни клиники (Lifetime)</t>
        </is>
      </c>
      <c r="B14" s="29" t="n">
        <v>36</v>
      </c>
      <c r="C14" s="16" t="inlineStr">
        <is>
          <t>36 месяцев (Churn &lt; 5% в год)</t>
        </is>
      </c>
      <c r="D14" s="10" t="inlineStr">
        <is>
          <t>Высокая удержаемость из-за сложности смены ERP-системы клиники</t>
        </is>
      </c>
    </row>
    <row r="15">
      <c r="A15" s="5" t="inlineStr">
        <is>
          <t>Пожизненная ценность клиента (LTV)</t>
        </is>
      </c>
      <c r="B15" s="6" t="n">
        <v>9000</v>
      </c>
      <c r="C15" s="12" t="inlineStr">
        <is>
          <t>ARPU × Lifetime ($250 × 36)</t>
        </is>
      </c>
      <c r="D15" s="7" t="inlineStr">
        <is>
          <t>Общий валовый доход с клиента за все время использования</t>
        </is>
      </c>
    </row>
    <row r="16">
      <c r="A16" s="10" t="inlineStr">
        <is>
          <t>Стоимость привлечения клиники (CAC)</t>
        </is>
      </c>
      <c r="B16" s="15" t="n">
        <v>1640</v>
      </c>
      <c r="C16" s="16" t="inlineStr">
        <is>
          <t>(Маркетинг + ФОТ продаж) / Клиенты</t>
        </is>
      </c>
      <c r="D16" s="10" t="inlineStr">
        <is>
          <t>Общие расходы на маркетинг ($28k) и продажи ($40k) на 70 клиник</t>
        </is>
      </c>
    </row>
    <row r="17">
      <c r="A17" s="5" t="inlineStr">
        <is>
          <t>Соотношение LTV / CAC</t>
        </is>
      </c>
      <c r="B17" s="17" t="n">
        <v>5.488</v>
      </c>
      <c r="C17" s="12" t="inlineStr">
        <is>
          <t>LTV / CAC ($9,000 / $1,640)</t>
        </is>
      </c>
      <c r="D17" s="7" t="inlineStr">
        <is>
          <t>Критический показатель эффективности (&gt;3.0x — отличный показатель)</t>
        </is>
      </c>
    </row>
    <row r="18">
      <c r="A18" s="10" t="inlineStr">
        <is>
          <t>Срок окупаемости CAC (Payback Period)</t>
        </is>
      </c>
      <c r="B18" s="30" t="n">
        <v>6.56</v>
      </c>
      <c r="C18" s="16" t="inlineStr">
        <is>
          <t>CAC / ARPU ($1,640 / $250)</t>
        </is>
      </c>
      <c r="D18" s="10" t="inlineStr">
        <is>
          <t>Период, за который клиент полностью окупает затраты на привлечение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2026-08-03T17:51:20Z</dcterms:created>
  <dcterms:modified xmlns:dcterms="http://purl.org/dc/terms/" xmlns:xsi="http://www.w3.org/2001/XMLSchema-instance" xsi:type="dcterms:W3CDTF">2026-08-03T17:51:20Z</dcterms:modified>
</cp:coreProperties>
</file>
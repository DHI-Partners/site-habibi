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bibi Logistics Investor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x"/>
    <numFmt numFmtId="166" formatCode="0.0 мес"/>
    <numFmt numFmtId="167" formatCode="0.0%"/>
    <numFmt numFmtId="168" formatCode="$#,##0;($#,##0);&quot;-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595959"/>
      <sz val="10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3" borderId="1" pivotButton="0" quotePrefix="0" xfId="0"/>
    <xf numFmtId="164" fontId="4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6" fillId="0" borderId="1" pivotButton="0" quotePrefix="0" xfId="0"/>
    <xf numFmtId="49" fontId="6" fillId="0" borderId="1" applyAlignment="1" pivotButton="0" quotePrefix="0" xfId="0">
      <alignment horizontal="right" vertical="center"/>
    </xf>
    <xf numFmtId="0" fontId="5" fillId="0" borderId="1" pivotButton="0" quotePrefix="0" xfId="0"/>
    <xf numFmtId="164" fontId="6" fillId="0" borderId="1" applyAlignment="1" pivotButton="0" quotePrefix="0" xfId="0">
      <alignment horizontal="right" vertical="center"/>
    </xf>
    <xf numFmtId="49" fontId="4" fillId="3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6" fillId="3" borderId="1" pivotButton="0" quotePrefix="0" xfId="0"/>
    <xf numFmtId="164" fontId="6" fillId="3" borderId="1" applyAlignment="1" pivotButton="0" quotePrefix="0" xfId="0">
      <alignment horizontal="right" vertical="center"/>
    </xf>
    <xf numFmtId="0" fontId="4" fillId="0" borderId="1" pivotButton="0" quotePrefix="0" xfId="0"/>
    <xf numFmtId="165" fontId="4" fillId="0" borderId="1" applyAlignment="1" pivotButton="0" quotePrefix="0" xfId="0">
      <alignment horizontal="right" vertical="center"/>
    </xf>
    <xf numFmtId="166" fontId="6" fillId="3" borderId="1" applyAlignment="1" pivotButton="0" quotePrefix="0" xfId="0">
      <alignment horizontal="right" vertical="center"/>
    </xf>
    <xf numFmtId="167" fontId="6" fillId="3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4" fillId="4" borderId="1" pivotButton="0" quotePrefix="0" xfId="0"/>
    <xf numFmtId="167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0" customWidth="1" min="3" max="3"/>
    <col width="4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Habibi Logistics — Инвестиционная Финансовая Модель (Pre-Seed $200,000)</t>
        </is>
      </c>
    </row>
    <row r="3">
      <c r="A3" s="2" t="inlineStr">
        <is>
          <t>1. КЛЮЧЕВЫЕ МЕТРИКИ ДЛЯ ИНВЕСТОРА (EXECUTIVE SUMMARY)</t>
        </is>
      </c>
    </row>
    <row r="4">
      <c r="A4" s="3" t="inlineStr">
        <is>
          <t>Показатель</t>
        </is>
      </c>
      <c r="B4" s="4" t="inlineStr">
        <is>
          <t>Значение</t>
        </is>
      </c>
      <c r="C4" s="3" t="inlineStr">
        <is>
          <t>Описание / Значение для инвестора</t>
        </is>
      </c>
    </row>
    <row r="5">
      <c r="A5" s="5" t="inlineStr">
        <is>
          <t>Привлекаемый раунд (Investment Round)</t>
        </is>
      </c>
      <c r="B5" s="6" t="n">
        <v>200000</v>
      </c>
      <c r="C5" s="7" t="inlineStr">
        <is>
          <t>Pre-Seed (Запас хода / Runway 12–15 месяцев)</t>
        </is>
      </c>
    </row>
    <row r="6">
      <c r="A6" s="8" t="inlineStr">
        <is>
          <t>Предлагаемая доля / Инструмент</t>
        </is>
      </c>
      <c r="B6" s="9" t="inlineStr">
        <is>
          <t>10% / SAFE Note</t>
        </is>
      </c>
      <c r="C6" s="10" t="inlineStr">
        <is>
          <t>SAFE / Convertible Note (Оценка Post-Money $2.0M)</t>
        </is>
      </c>
    </row>
    <row r="7">
      <c r="A7" s="5" t="inlineStr">
        <is>
          <t>Регулярная выручка в месяц (MRR, Месяц 12)</t>
        </is>
      </c>
      <c r="B7" s="6" t="n">
        <v>15050</v>
      </c>
      <c r="C7" s="7" t="inlineStr">
        <is>
          <t>Ежемесячный доход от подписок Habibi+ (€49) / Premium (€199)</t>
        </is>
      </c>
    </row>
    <row r="8">
      <c r="A8" s="8" t="inlineStr">
        <is>
          <t>Годовой темп выручки (ARR, Месяц 12)</t>
        </is>
      </c>
      <c r="B8" s="11" t="n">
        <v>180600</v>
      </c>
      <c r="C8" s="10" t="inlineStr">
        <is>
          <t>Годовой темп регулярной выручки к концу 1-го года</t>
        </is>
      </c>
    </row>
    <row r="9">
      <c r="A9" s="5" t="inlineStr">
        <is>
          <t>Точка безубыточности (Breakeven)</t>
        </is>
      </c>
      <c r="B9" s="12" t="inlineStr">
        <is>
          <t>Месяц 10</t>
        </is>
      </c>
      <c r="C9" s="7" t="inlineStr">
        <is>
          <t>Первый месяц с положительной чистой прибылью</t>
        </is>
      </c>
    </row>
    <row r="10">
      <c r="A10" s="8" t="inlineStr">
        <is>
          <t>Платящие автопарки / ТК (Месяц 12)</t>
        </is>
      </c>
      <c r="B10" s="13" t="n">
        <v>70</v>
      </c>
      <c r="C10" s="10" t="inlineStr">
        <is>
          <t>Подключенные транспортно-логистические компании СНГ</t>
        </is>
      </c>
    </row>
    <row r="11">
      <c r="A11" s="14" t="inlineStr">
        <is>
          <t>Средний чек на компанию в месяц (ARPU)</t>
        </is>
      </c>
      <c r="B11" s="15" t="n">
        <v>250</v>
      </c>
      <c r="C11" s="7" t="inlineStr">
        <is>
          <t>SaaS-подписка + услуги внедрения/GPS онбординга</t>
        </is>
      </c>
    </row>
    <row r="12">
      <c r="A12" s="8" t="inlineStr">
        <is>
          <t>Пожизненная ценность клиента (LTV)</t>
        </is>
      </c>
      <c r="B12" s="11" t="n">
        <v>9000</v>
      </c>
      <c r="C12" s="10" t="inlineStr">
        <is>
          <t>Расчет ценности клиента за 36 месяцев работы ($250 × 36)</t>
        </is>
      </c>
    </row>
    <row r="13">
      <c r="A13" s="14" t="inlineStr">
        <is>
          <t>Стоимость привлечения клиента (CAC)</t>
        </is>
      </c>
      <c r="B13" s="15" t="n">
        <v>1640</v>
      </c>
      <c r="C13" s="7" t="inlineStr">
        <is>
          <t>Маркетинг, выездной онбординг, GPS-интеграции на 1 компанию</t>
        </is>
      </c>
    </row>
    <row r="14">
      <c r="A14" s="16" t="inlineStr">
        <is>
          <t>Соотношение LTV / CAC Efficiency</t>
        </is>
      </c>
      <c r="B14" s="17" t="n">
        <v>5.488</v>
      </c>
      <c r="C14" s="10" t="inlineStr">
        <is>
          <t>Высокая эффективность B2B SaaS-модели (бенчмарк &gt; 3.0x)</t>
        </is>
      </c>
    </row>
    <row r="15">
      <c r="A15" s="14" t="inlineStr">
        <is>
          <t>Срок окупаемости CAC (Payback Period)</t>
        </is>
      </c>
      <c r="B15" s="18" t="n">
        <v>6.56</v>
      </c>
      <c r="C15" s="7" t="inlineStr">
        <is>
          <t>Клиент полностью окупает затраты на привлечение за 6.5 мес</t>
        </is>
      </c>
    </row>
    <row r="17">
      <c r="A17" s="2" t="inlineStr">
        <is>
          <t>2. СТРУКТУРА ИСПОЛЬЗОВАНИЯ ИНВЕСТИЦИЙ (USE OF FUNDS — $200,000)</t>
        </is>
      </c>
    </row>
    <row r="18">
      <c r="A18" s="3" t="inlineStr">
        <is>
          <t>Направление расходования</t>
        </is>
      </c>
      <c r="B18" s="4" t="inlineStr">
        <is>
          <t>Доля (%)</t>
        </is>
      </c>
      <c r="C18" s="4" t="inlineStr">
        <is>
          <t>Сумма ($)</t>
        </is>
      </c>
      <c r="D18" s="3" t="inlineStr">
        <is>
          <t>Состав и детализация</t>
        </is>
      </c>
    </row>
    <row r="19">
      <c r="A19" s="14" t="inlineStr">
        <is>
          <t>ФОТ R&amp;D (Разработка и Продукт)</t>
        </is>
      </c>
      <c r="B19" s="19" t="n">
        <v>0.45</v>
      </c>
      <c r="C19" s="15" t="n">
        <v>90000</v>
      </c>
      <c r="D19" s="14" t="inlineStr">
        <is>
          <t>$7,500/мес: Lead Dev (GPS/Telematics), Mid Back/Front Dev, UI/UX, QA</t>
        </is>
      </c>
    </row>
    <row r="20">
      <c r="A20" s="8" t="inlineStr">
        <is>
          <t>ФОТ Sales &amp; Success (Продажи и Онбординг)</t>
        </is>
      </c>
      <c r="B20" s="20" t="n">
        <v>0.2</v>
      </c>
      <c r="C20" s="11" t="n">
        <v>40000</v>
      </c>
      <c r="D20" s="8" t="inlineStr">
        <is>
          <t>Head of Sales ($1.8k/мес) + Выездной инженер GPS-онбординга ($1.2k/мес)</t>
        </is>
      </c>
    </row>
    <row r="21">
      <c r="A21" s="14" t="inlineStr">
        <is>
          <t>Маркетинг, B2B LeadGen &amp; Выставки</t>
        </is>
      </c>
      <c r="B21" s="19" t="n">
        <v>0.14</v>
      </c>
      <c r="C21" s="15" t="n">
        <v>28000</v>
      </c>
      <c r="D21" s="14" t="inlineStr">
        <is>
          <t>Прямой Outbound в автопарки, логистические форумы СНГ, B2B-контекст</t>
        </is>
      </c>
    </row>
    <row r="22">
      <c r="A22" s="8" t="inlineStr">
        <is>
          <t>Юридическое сопровождение &amp; Резерв</t>
        </is>
      </c>
      <c r="B22" s="20" t="n">
        <v>0.08</v>
      </c>
      <c r="C22" s="11" t="n">
        <v>16000</v>
      </c>
      <c r="D22" s="8" t="inlineStr">
        <is>
          <t>Оформление SAFE / Convertible Note, международное право и контракты СНГ</t>
        </is>
      </c>
    </row>
    <row r="23">
      <c r="A23" s="14" t="inlineStr">
        <is>
          <t>Инфраструктура, Серверы &amp; IoT GPS</t>
        </is>
      </c>
      <c r="B23" s="19" t="n">
        <v>0.07000000000000001</v>
      </c>
      <c r="C23" s="15" t="n">
        <v>14000</v>
      </c>
      <c r="D23" s="14" t="inlineStr">
        <is>
          <t>Высоконагруженные облака для шлюза Telematics/GPS данных и карт</t>
        </is>
      </c>
    </row>
    <row r="24">
      <c r="A24" s="8" t="inlineStr">
        <is>
          <t>ФОТ Операционный (Администрирование)</t>
        </is>
      </c>
      <c r="B24" s="20" t="n">
        <v>0.06</v>
      </c>
      <c r="C24" s="11" t="n">
        <v>12000</v>
      </c>
      <c r="D24" s="8" t="inlineStr">
        <is>
          <t>Аутсорсинг бухгалтерии и финансово-налоговый учет</t>
        </is>
      </c>
    </row>
    <row r="25">
      <c r="A25" s="21" t="inlineStr">
        <is>
          <t>Итого расходование капитала</t>
        </is>
      </c>
      <c r="B25" s="22">
        <f>SUM(B19:B24)</f>
        <v/>
      </c>
      <c r="C25" s="23">
        <f>SUM(C19:C24)</f>
        <v/>
      </c>
      <c r="D25" s="21" t="inlineStr">
        <is>
          <t>Полное покрытие затрат компании на 12–15 месяцев (Runway)</t>
        </is>
      </c>
    </row>
    <row r="27">
      <c r="A27" s="2" t="inlineStr">
        <is>
          <t>3. ТАРИФНАЯ СЕТКА HABIBI LOGISTICS</t>
        </is>
      </c>
    </row>
    <row r="28">
      <c r="A28" s="3" t="inlineStr">
        <is>
          <t>Тарифный план</t>
        </is>
      </c>
      <c r="B28" s="3" t="inlineStr">
        <is>
          <t>Стоимость / мес</t>
        </is>
      </c>
      <c r="C28" s="3" t="inlineStr">
        <is>
          <t>Целевая аудитория</t>
        </is>
      </c>
      <c r="D28" s="3" t="inlineStr">
        <is>
          <t>Включенный функционал</t>
        </is>
      </c>
    </row>
    <row r="29">
      <c r="A29" s="5" t="inlineStr">
        <is>
          <t>Habibi Free</t>
        </is>
      </c>
      <c r="B29" s="14" t="inlineStr">
        <is>
          <t>€0 / мес</t>
        </is>
      </c>
      <c r="C29" s="14" t="inlineStr">
        <is>
          <t>Частные перевозчики (1–2 машины)</t>
        </is>
      </c>
      <c r="D29" s="14" t="inlineStr">
        <is>
          <t>Базовый учет рейсов, CRM заказчиков, путевые листы</t>
        </is>
      </c>
    </row>
    <row r="30">
      <c r="A30" s="16" t="inlineStr">
        <is>
          <t>Habibi +</t>
        </is>
      </c>
      <c r="B30" s="8" t="inlineStr">
        <is>
          <t>€49 / мес</t>
        </is>
      </c>
      <c r="C30" s="8" t="inlineStr">
        <is>
          <t>Малые и средние автопарки (3–15 машин)</t>
        </is>
      </c>
      <c r="D30" s="8" t="inlineStr">
        <is>
          <t>Учет топлива, рейс-контроль, GPS-телематика, штрафы</t>
        </is>
      </c>
    </row>
    <row r="31">
      <c r="A31" s="5" t="inlineStr">
        <is>
          <t>Habibi Premium</t>
        </is>
      </c>
      <c r="B31" s="14" t="inlineStr">
        <is>
          <t>€199 / мес</t>
        </is>
      </c>
      <c r="C31" s="14" t="inlineStr">
        <is>
          <t>Крупные автопарки и экспедиторы (15+ машин)</t>
        </is>
      </c>
      <c r="D31" s="14" t="inlineStr">
        <is>
          <t>Мультивалютный P&amp;L, таможенные документы, 1С, безлимит</t>
        </is>
      </c>
    </row>
    <row r="32">
      <c r="A32" s="16" t="inlineStr">
        <is>
          <t>Onboarding / Custom</t>
        </is>
      </c>
      <c r="B32" s="8" t="inlineStr">
        <is>
          <t>$2k–$5k (разово)</t>
        </is>
      </c>
      <c r="C32" s="8" t="inlineStr">
        <is>
          <t>Крупные автоколонны и сети логистики</t>
        </is>
      </c>
      <c r="D32" s="8" t="inlineStr">
        <is>
          <t>Настройка GPS-трекеров, датчиков топлива (ДУТ), выездное обучение</t>
        </is>
      </c>
    </row>
    <row r="34">
      <c r="A34" s="2" t="inlineStr">
        <is>
          <t>4. ПОМЕСЯЧНАЯ ФИНАНСОВАЯ МОДЕЛЬ (P&amp;L И CASH FLOW НА 12 МЕСЯЦЕВ)</t>
        </is>
      </c>
    </row>
    <row r="35">
      <c r="A35" s="24" t="inlineStr">
        <is>
          <t>Статья / Месяц</t>
        </is>
      </c>
      <c r="B35" s="25" t="inlineStr">
        <is>
          <t>Месяц 1</t>
        </is>
      </c>
      <c r="C35" s="25" t="inlineStr">
        <is>
          <t>Месяц 2</t>
        </is>
      </c>
      <c r="D35" s="25" t="inlineStr">
        <is>
          <t>Месяц 3</t>
        </is>
      </c>
      <c r="E35" s="25" t="inlineStr">
        <is>
          <t>Месяц 4</t>
        </is>
      </c>
      <c r="F35" s="25" t="inlineStr">
        <is>
          <t>Месяц 5</t>
        </is>
      </c>
      <c r="G35" s="25" t="inlineStr">
        <is>
          <t>Месяц 6</t>
        </is>
      </c>
      <c r="H35" s="25" t="inlineStr">
        <is>
          <t>Месяц 7</t>
        </is>
      </c>
      <c r="I35" s="25" t="inlineStr">
        <is>
          <t>Месяц 8</t>
        </is>
      </c>
      <c r="J35" s="25" t="inlineStr">
        <is>
          <t>Месяц 9</t>
        </is>
      </c>
      <c r="K35" s="25" t="inlineStr">
        <is>
          <t>Месяц 10</t>
        </is>
      </c>
      <c r="L35" s="25" t="inlineStr">
        <is>
          <t>Месяц 11</t>
        </is>
      </c>
      <c r="M35" s="25" t="inlineStr">
        <is>
          <t>Месяц 12</t>
        </is>
      </c>
      <c r="N35" s="25" t="inlineStr">
        <is>
          <t>Итого (1 Год)</t>
        </is>
      </c>
    </row>
    <row r="36">
      <c r="A36" s="5" t="inlineStr">
        <is>
          <t>Платящие автопарки / ТК (всего)</t>
        </is>
      </c>
      <c r="B36" s="26" t="n">
        <v>2</v>
      </c>
      <c r="C36" s="26" t="n">
        <v>4</v>
      </c>
      <c r="D36" s="26" t="n">
        <v>7</v>
      </c>
      <c r="E36" s="26" t="n">
        <v>12</v>
      </c>
      <c r="F36" s="26" t="n">
        <v>18</v>
      </c>
      <c r="G36" s="26" t="n">
        <v>25</v>
      </c>
      <c r="H36" s="26" t="n">
        <v>32</v>
      </c>
      <c r="I36" s="26" t="n">
        <v>40</v>
      </c>
      <c r="J36" s="26" t="n">
        <v>48</v>
      </c>
      <c r="K36" s="26" t="n">
        <v>55</v>
      </c>
      <c r="L36" s="26" t="n">
        <v>62</v>
      </c>
      <c r="M36" s="26" t="n">
        <v>70</v>
      </c>
      <c r="N36" s="26">
        <f>M36</f>
        <v/>
      </c>
    </row>
    <row r="37">
      <c r="A37" s="8" t="inlineStr">
        <is>
          <t>SaaS-подписки (€49 / €199)</t>
        </is>
      </c>
      <c r="B37" s="11" t="n">
        <v>430</v>
      </c>
      <c r="C37" s="11" t="n">
        <v>860</v>
      </c>
      <c r="D37" s="11" t="n">
        <v>1505</v>
      </c>
      <c r="E37" s="11" t="n">
        <v>2580</v>
      </c>
      <c r="F37" s="11" t="n">
        <v>3870</v>
      </c>
      <c r="G37" s="11" t="n">
        <v>5375</v>
      </c>
      <c r="H37" s="11" t="n">
        <v>6880</v>
      </c>
      <c r="I37" s="11" t="n">
        <v>8600</v>
      </c>
      <c r="J37" s="11" t="n">
        <v>10320</v>
      </c>
      <c r="K37" s="11" t="n">
        <v>11825</v>
      </c>
      <c r="L37" s="11" t="n">
        <v>13330</v>
      </c>
      <c r="M37" s="11" t="n">
        <v>15050</v>
      </c>
      <c r="N37" s="27">
        <f>SUM(B37:M37)</f>
        <v/>
      </c>
    </row>
    <row r="38">
      <c r="A38" s="8" t="inlineStr">
        <is>
          <t>Услуги GPS-онбординга и настройки</t>
        </is>
      </c>
      <c r="B38" s="11" t="n">
        <v>1000</v>
      </c>
      <c r="C38" s="11" t="n">
        <v>1000</v>
      </c>
      <c r="D38" s="11" t="n">
        <v>1500</v>
      </c>
      <c r="E38" s="11" t="n">
        <v>2500</v>
      </c>
      <c r="F38" s="11" t="n">
        <v>3000</v>
      </c>
      <c r="G38" s="11" t="n">
        <v>3500</v>
      </c>
      <c r="H38" s="11" t="n">
        <v>3500</v>
      </c>
      <c r="I38" s="11" t="n">
        <v>4000</v>
      </c>
      <c r="J38" s="11" t="n">
        <v>4000</v>
      </c>
      <c r="K38" s="11" t="n">
        <v>3500</v>
      </c>
      <c r="L38" s="11" t="n">
        <v>3500</v>
      </c>
      <c r="M38" s="11" t="n">
        <v>4000</v>
      </c>
      <c r="N38" s="27">
        <f>SUM(B38:M38)</f>
        <v/>
      </c>
    </row>
    <row r="39">
      <c r="A39" s="5" t="inlineStr">
        <is>
          <t>Валовая выручка (Gross Revenue)</t>
        </is>
      </c>
      <c r="B39" s="6">
        <f>SUM(B37:B38)</f>
        <v/>
      </c>
      <c r="C39" s="6">
        <f>SUM(C37:C38)</f>
        <v/>
      </c>
      <c r="D39" s="6">
        <f>SUM(D37:D38)</f>
        <v/>
      </c>
      <c r="E39" s="6">
        <f>SUM(E37:E38)</f>
        <v/>
      </c>
      <c r="F39" s="6">
        <f>SUM(F37:F38)</f>
        <v/>
      </c>
      <c r="G39" s="6">
        <f>SUM(G37:G38)</f>
        <v/>
      </c>
      <c r="H39" s="6">
        <f>SUM(H37:H38)</f>
        <v/>
      </c>
      <c r="I39" s="6">
        <f>SUM(I37:I38)</f>
        <v/>
      </c>
      <c r="J39" s="6">
        <f>SUM(J37:J38)</f>
        <v/>
      </c>
      <c r="K39" s="6">
        <f>SUM(K37:K38)</f>
        <v/>
      </c>
      <c r="L39" s="6">
        <f>SUM(L37:L38)</f>
        <v/>
      </c>
      <c r="M39" s="6">
        <f>SUM(M37:M38)</f>
        <v/>
      </c>
      <c r="N39" s="6">
        <f>SUM(N37:N38)</f>
        <v/>
      </c>
    </row>
    <row r="40">
      <c r="A40" s="8" t="inlineStr">
        <is>
          <t>ФОТ R&amp;D (Разработка и Продукт)</t>
        </is>
      </c>
      <c r="B40" s="11" t="n">
        <v>7500</v>
      </c>
      <c r="C40" s="11" t="n">
        <v>7500</v>
      </c>
      <c r="D40" s="11" t="n">
        <v>7500</v>
      </c>
      <c r="E40" s="11" t="n">
        <v>7500</v>
      </c>
      <c r="F40" s="11" t="n">
        <v>7500</v>
      </c>
      <c r="G40" s="11" t="n">
        <v>7500</v>
      </c>
      <c r="H40" s="11" t="n">
        <v>7500</v>
      </c>
      <c r="I40" s="11" t="n">
        <v>7500</v>
      </c>
      <c r="J40" s="11" t="n">
        <v>7500</v>
      </c>
      <c r="K40" s="11" t="n">
        <v>7500</v>
      </c>
      <c r="L40" s="11" t="n">
        <v>7500</v>
      </c>
      <c r="M40" s="11" t="n">
        <v>7500</v>
      </c>
      <c r="N40" s="27">
        <f>SUM(B40:M40)</f>
        <v/>
      </c>
    </row>
    <row r="41">
      <c r="A41" s="8" t="inlineStr">
        <is>
          <t>ФОТ Sales &amp; GPS-онбординг</t>
        </is>
      </c>
      <c r="B41" s="11" t="n">
        <v>3330</v>
      </c>
      <c r="C41" s="11" t="n">
        <v>3330</v>
      </c>
      <c r="D41" s="11" t="n">
        <v>3330</v>
      </c>
      <c r="E41" s="11" t="n">
        <v>3330</v>
      </c>
      <c r="F41" s="11" t="n">
        <v>3330</v>
      </c>
      <c r="G41" s="11" t="n">
        <v>3330</v>
      </c>
      <c r="H41" s="11" t="n">
        <v>3330</v>
      </c>
      <c r="I41" s="11" t="n">
        <v>3330</v>
      </c>
      <c r="J41" s="11" t="n">
        <v>3330</v>
      </c>
      <c r="K41" s="11" t="n">
        <v>3330</v>
      </c>
      <c r="L41" s="11" t="n">
        <v>3330</v>
      </c>
      <c r="M41" s="11" t="n">
        <v>3370</v>
      </c>
      <c r="N41" s="27">
        <f>SUM(B41:M41)</f>
        <v/>
      </c>
    </row>
    <row r="42">
      <c r="A42" s="8" t="inlineStr">
        <is>
          <t>ФОТ Операционный (Административный)</t>
        </is>
      </c>
      <c r="B42" s="11" t="n">
        <v>1000</v>
      </c>
      <c r="C42" s="11" t="n">
        <v>1000</v>
      </c>
      <c r="D42" s="11" t="n">
        <v>1000</v>
      </c>
      <c r="E42" s="11" t="n">
        <v>1000</v>
      </c>
      <c r="F42" s="11" t="n">
        <v>1000</v>
      </c>
      <c r="G42" s="11" t="n">
        <v>1000</v>
      </c>
      <c r="H42" s="11" t="n">
        <v>1000</v>
      </c>
      <c r="I42" s="11" t="n">
        <v>1000</v>
      </c>
      <c r="J42" s="11" t="n">
        <v>1000</v>
      </c>
      <c r="K42" s="11" t="n">
        <v>1000</v>
      </c>
      <c r="L42" s="11" t="n">
        <v>1000</v>
      </c>
      <c r="M42" s="11" t="n">
        <v>1000</v>
      </c>
      <c r="N42" s="27">
        <f>SUM(B42:M42)</f>
        <v/>
      </c>
    </row>
    <row r="43">
      <c r="A43" s="8" t="inlineStr">
        <is>
          <t>Маркетинг &amp; B2B LeadGen</t>
        </is>
      </c>
      <c r="B43" s="11" t="n">
        <v>2000</v>
      </c>
      <c r="C43" s="11" t="n">
        <v>2000</v>
      </c>
      <c r="D43" s="11" t="n">
        <v>2350</v>
      </c>
      <c r="E43" s="11" t="n">
        <v>2350</v>
      </c>
      <c r="F43" s="11" t="n">
        <v>2350</v>
      </c>
      <c r="G43" s="11" t="n">
        <v>2350</v>
      </c>
      <c r="H43" s="11" t="n">
        <v>2350</v>
      </c>
      <c r="I43" s="11" t="n">
        <v>2350</v>
      </c>
      <c r="J43" s="11" t="n">
        <v>2350</v>
      </c>
      <c r="K43" s="11" t="n">
        <v>2350</v>
      </c>
      <c r="L43" s="11" t="n">
        <v>2350</v>
      </c>
      <c r="M43" s="11" t="n">
        <v>2850</v>
      </c>
      <c r="N43" s="27">
        <f>SUM(B43:M43)</f>
        <v/>
      </c>
    </row>
    <row r="44">
      <c r="A44" s="8" t="inlineStr">
        <is>
          <t>Телематика, Серверы &amp; GPS-Инфраструктура</t>
        </is>
      </c>
      <c r="B44" s="11" t="n">
        <v>1100</v>
      </c>
      <c r="C44" s="11" t="n">
        <v>1100</v>
      </c>
      <c r="D44" s="11" t="n">
        <v>1100</v>
      </c>
      <c r="E44" s="11" t="n">
        <v>1100</v>
      </c>
      <c r="F44" s="11" t="n">
        <v>1150</v>
      </c>
      <c r="G44" s="11" t="n">
        <v>1150</v>
      </c>
      <c r="H44" s="11" t="n">
        <v>1150</v>
      </c>
      <c r="I44" s="11" t="n">
        <v>1200</v>
      </c>
      <c r="J44" s="11" t="n">
        <v>1200</v>
      </c>
      <c r="K44" s="11" t="n">
        <v>1250</v>
      </c>
      <c r="L44" s="11" t="n">
        <v>1250</v>
      </c>
      <c r="M44" s="11" t="n">
        <v>1450</v>
      </c>
      <c r="N44" s="27">
        <f>SUM(B44:M44)</f>
        <v/>
      </c>
    </row>
    <row r="45">
      <c r="A45" s="8" t="inlineStr">
        <is>
          <t>Юридическое сопровождение &amp; Резерв</t>
        </is>
      </c>
      <c r="B45" s="11" t="n">
        <v>1330</v>
      </c>
      <c r="C45" s="11" t="n">
        <v>1330</v>
      </c>
      <c r="D45" s="11" t="n">
        <v>1330</v>
      </c>
      <c r="E45" s="11" t="n">
        <v>1330</v>
      </c>
      <c r="F45" s="11" t="n">
        <v>1330</v>
      </c>
      <c r="G45" s="11" t="n">
        <v>1330</v>
      </c>
      <c r="H45" s="11" t="n">
        <v>1330</v>
      </c>
      <c r="I45" s="11" t="n">
        <v>1330</v>
      </c>
      <c r="J45" s="11" t="n">
        <v>1330</v>
      </c>
      <c r="K45" s="11" t="n">
        <v>1330</v>
      </c>
      <c r="L45" s="11" t="n">
        <v>1330</v>
      </c>
      <c r="M45" s="11" t="n">
        <v>1370</v>
      </c>
      <c r="N45" s="27">
        <f>SUM(B45:M45)</f>
        <v/>
      </c>
    </row>
    <row r="46">
      <c r="A46" s="5" t="inlineStr">
        <is>
          <t>Итого OPEX</t>
        </is>
      </c>
      <c r="B46" s="6">
        <f>SUM(B40:B45)</f>
        <v/>
      </c>
      <c r="C46" s="6">
        <f>SUM(C40:C45)</f>
        <v/>
      </c>
      <c r="D46" s="6">
        <f>SUM(D40:D45)</f>
        <v/>
      </c>
      <c r="E46" s="6">
        <f>SUM(E40:E45)</f>
        <v/>
      </c>
      <c r="F46" s="6">
        <f>SUM(F40:F45)</f>
        <v/>
      </c>
      <c r="G46" s="6">
        <f>SUM(G40:G45)</f>
        <v/>
      </c>
      <c r="H46" s="6">
        <f>SUM(H40:H45)</f>
        <v/>
      </c>
      <c r="I46" s="6">
        <f>SUM(I40:I45)</f>
        <v/>
      </c>
      <c r="J46" s="6">
        <f>SUM(J40:J45)</f>
        <v/>
      </c>
      <c r="K46" s="6">
        <f>SUM(K40:K45)</f>
        <v/>
      </c>
      <c r="L46" s="6">
        <f>SUM(L40:L45)</f>
        <v/>
      </c>
      <c r="M46" s="6">
        <f>SUM(M40:M45)</f>
        <v/>
      </c>
      <c r="N46" s="6">
        <f>SUM(N40:N45)</f>
        <v/>
      </c>
    </row>
    <row r="47">
      <c r="A47" s="21" t="inlineStr">
        <is>
          <t>Чистая прибыль / (Убыток)</t>
        </is>
      </c>
      <c r="B47" s="28">
        <f>B39-B46</f>
        <v/>
      </c>
      <c r="C47" s="28">
        <f>C39-C46</f>
        <v/>
      </c>
      <c r="D47" s="28">
        <f>D39-D46</f>
        <v/>
      </c>
      <c r="E47" s="28">
        <f>E39-E46</f>
        <v/>
      </c>
      <c r="F47" s="28">
        <f>F39-F46</f>
        <v/>
      </c>
      <c r="G47" s="28">
        <f>G39-G46</f>
        <v/>
      </c>
      <c r="H47" s="28">
        <f>H39-H46</f>
        <v/>
      </c>
      <c r="I47" s="28">
        <f>I39-I46</f>
        <v/>
      </c>
      <c r="J47" s="28">
        <f>J39-J46</f>
        <v/>
      </c>
      <c r="K47" s="28">
        <f>K39-K46</f>
        <v/>
      </c>
      <c r="L47" s="28">
        <f>L39-L46</f>
        <v/>
      </c>
      <c r="M47" s="28">
        <f>M39-M46</f>
        <v/>
      </c>
      <c r="N47" s="28">
        <f>N39-N46</f>
        <v/>
      </c>
    </row>
    <row r="48">
      <c r="A48" s="21" t="inlineStr">
        <is>
          <t>Остаток денежных средств на счете ($)</t>
        </is>
      </c>
      <c r="B48" s="23">
        <f>200000+B47</f>
        <v/>
      </c>
      <c r="C48" s="23">
        <f>B48+C47</f>
        <v/>
      </c>
      <c r="D48" s="23">
        <f>C48+D47</f>
        <v/>
      </c>
      <c r="E48" s="23">
        <f>D48+E47</f>
        <v/>
      </c>
      <c r="F48" s="23">
        <f>E48+F47</f>
        <v/>
      </c>
      <c r="G48" s="23">
        <f>F48+G47</f>
        <v/>
      </c>
      <c r="H48" s="23">
        <f>G48+H47</f>
        <v/>
      </c>
      <c r="I48" s="23">
        <f>H48+I47</f>
        <v/>
      </c>
      <c r="J48" s="23">
        <f>I48+J47</f>
        <v/>
      </c>
      <c r="K48" s="23">
        <f>J48+K47</f>
        <v/>
      </c>
      <c r="L48" s="23">
        <f>K48+L47</f>
        <v/>
      </c>
      <c r="M48" s="23">
        <f>L48+M47</f>
        <v/>
      </c>
      <c r="N48" s="23">
        <f>M48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2026-08-04T15:29:48Z</dcterms:created>
  <dcterms:modified xmlns:dcterms="http://purl.org/dc/terms/" xmlns:xsi="http://www.w3.org/2001/XMLSchema-instance" xsi:type="dcterms:W3CDTF">2026-08-04T15:29:48Z</dcterms:modified>
</cp:coreProperties>
</file>
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shboard" sheetId="1" state="visible" r:id="rId1"/>
    <sheet xmlns:r="http://schemas.openxmlformats.org/officeDocument/2006/relationships" name="12-Month Financial Model" sheetId="2" state="visible" r:id="rId2"/>
    <sheet xmlns:r="http://schemas.openxmlformats.org/officeDocument/2006/relationships" name="Unit Economics &amp; Tarif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&quot;x&quot;"/>
    <numFmt numFmtId="166" formatCode="0.0%"/>
    <numFmt numFmtId="167" formatCode="0&quot; мес.&quot;"/>
    <numFmt numFmtId="168" formatCode="0.0&quot; мес.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3" borderId="1" pivotButton="0" quotePrefix="0" xfId="0"/>
    <xf numFmtId="164" fontId="6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49" fontId="6" fillId="3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0" borderId="2" pivotButton="0" quotePrefix="0" xfId="0"/>
    <xf numFmtId="166" fontId="6" fillId="0" borderId="2" pivotButton="0" quotePrefix="0" xfId="0"/>
    <xf numFmtId="164" fontId="6" fillId="0" borderId="2" pivotButton="0" quotePrefix="0" xfId="0"/>
    <xf numFmtId="165" fontId="6" fillId="0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0" fillId="4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pivotButton="0" quotePrefix="0" xfId="0"/>
    <xf numFmtId="164" fontId="6" fillId="0" borderId="2" applyAlignment="1" pivotButton="0" quotePrefix="0" xfId="0">
      <alignment horizontal="right" vertical="center"/>
    </xf>
    <xf numFmtId="0" fontId="6" fillId="3" borderId="1" pivotButton="0" quotePrefix="0" xfId="0"/>
    <xf numFmtId="0" fontId="2" fillId="3" borderId="1" pivotButton="0" quotePrefix="0" xfId="0"/>
    <xf numFmtId="167" fontId="6" fillId="0" borderId="1" applyAlignment="1" pivotButton="0" quotePrefix="0" xfId="0">
      <alignment horizontal="right" vertical="center"/>
    </xf>
    <xf numFmtId="0" fontId="2" fillId="0" borderId="1" pivotButton="0" quotePrefix="0" xfId="0"/>
    <xf numFmtId="166" fontId="6" fillId="3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2" customWidth="1" min="3" max="3"/>
    <col width="45" customWidth="1" min="4" max="4"/>
    <col width="15" customWidth="1" min="5" max="5"/>
    <col width="20" customWidth="1" min="6" max="6"/>
  </cols>
  <sheetData>
    <row r="1">
      <c r="A1" s="1" t="inlineStr">
        <is>
          <t>Habibi Hajj &amp; Umrah — Финансовая модель и Инвестиционный Дашборд</t>
        </is>
      </c>
    </row>
    <row r="2">
      <c r="A2" s="2" t="inlineStr">
        <is>
          <t>Рынок СНГ | Привлекаемый раунд: $150,000 (Pre-Seed) | ERP-платформа для религиозного туризма</t>
        </is>
      </c>
    </row>
    <row r="3"/>
    <row r="4">
      <c r="A4" s="3" t="inlineStr">
        <is>
          <t>Ключевые инвестиционные метрики</t>
        </is>
      </c>
      <c r="D4" s="3" t="inlineStr">
        <is>
          <t>Структура расходования раунда ($150,000)</t>
        </is>
      </c>
    </row>
    <row r="5">
      <c r="A5" s="4" t="inlineStr">
        <is>
          <t>Показатель</t>
        </is>
      </c>
      <c r="B5" s="4" t="inlineStr">
        <is>
          <t>Значение</t>
        </is>
      </c>
      <c r="D5" s="4" t="inlineStr">
        <is>
          <t>Направление</t>
        </is>
      </c>
      <c r="E5" s="4" t="inlineStr">
        <is>
          <t>Доля (%)</t>
        </is>
      </c>
      <c r="F5" s="4" t="inlineStr">
        <is>
          <t>Сумма ($)</t>
        </is>
      </c>
    </row>
    <row r="6">
      <c r="A6" s="5" t="inlineStr">
        <is>
          <t>Размер раунда (Round Size)</t>
        </is>
      </c>
      <c r="B6" s="6" t="n">
        <v>150000</v>
      </c>
      <c r="D6" s="5" t="inlineStr">
        <is>
          <t>ФОТ R&amp;D (Разработка и Продукт)</t>
        </is>
      </c>
      <c r="E6" s="7" t="n">
        <v>0.4</v>
      </c>
      <c r="F6" s="8" t="n">
        <v>60000</v>
      </c>
    </row>
    <row r="7">
      <c r="A7" s="9" t="inlineStr">
        <is>
          <t>Целевой MRR через 12 мес.</t>
        </is>
      </c>
      <c r="B7" s="10" t="n">
        <v>15000</v>
      </c>
      <c r="D7" s="9" t="inlineStr">
        <is>
          <t>ФОТ Sales &amp; Success (Продажи и Онбординг)</t>
        </is>
      </c>
      <c r="E7" s="11" t="n">
        <v>0.2</v>
      </c>
      <c r="F7" s="12" t="n">
        <v>30000</v>
      </c>
    </row>
    <row r="8">
      <c r="A8" s="5" t="inlineStr">
        <is>
          <t>Целевой ARR через 12 мес.</t>
        </is>
      </c>
      <c r="B8" s="6" t="n">
        <v>180000</v>
      </c>
      <c r="D8" s="5" t="inlineStr">
        <is>
          <t>ФОТ Операционный (Администрирование)</t>
        </is>
      </c>
      <c r="E8" s="7" t="n">
        <v>0.08</v>
      </c>
      <c r="F8" s="8" t="n">
        <v>12000</v>
      </c>
    </row>
    <row r="9">
      <c r="A9" s="9" t="inlineStr">
        <is>
          <t>Точка безубыточности (Breakeven)</t>
        </is>
      </c>
      <c r="B9" s="13" t="inlineStr">
        <is>
          <t>Месяц 10</t>
        </is>
      </c>
      <c r="D9" s="9" t="inlineStr">
        <is>
          <t>Маркетинг &amp; B2B LeadGen</t>
        </is>
      </c>
      <c r="E9" s="11" t="n">
        <v>0.14</v>
      </c>
      <c r="F9" s="12" t="n">
        <v>21000</v>
      </c>
    </row>
    <row r="10">
      <c r="A10" s="5" t="inlineStr">
        <is>
          <t>Целевое кол-во B2B-клиентов (12 мес.)</t>
        </is>
      </c>
      <c r="B10" s="14" t="n">
        <v>60</v>
      </c>
      <c r="D10" s="5" t="inlineStr">
        <is>
          <t>Юридическое сопровождение &amp; Резерв</t>
        </is>
      </c>
      <c r="E10" s="7" t="n">
        <v>0.1</v>
      </c>
      <c r="F10" s="8" t="n">
        <v>15000</v>
      </c>
    </row>
    <row r="11">
      <c r="A11" s="9" t="inlineStr">
        <is>
          <t>Средний чек на клиента (ARPU / мес.)</t>
        </is>
      </c>
      <c r="B11" s="10" t="n">
        <v>250</v>
      </c>
      <c r="D11" s="9" t="inlineStr">
        <is>
          <t>Инфраструктура &amp; Серверы</t>
        </is>
      </c>
      <c r="E11" s="11" t="n">
        <v>0.08</v>
      </c>
      <c r="F11" s="12" t="n">
        <v>12000</v>
      </c>
    </row>
    <row r="12">
      <c r="A12" s="5" t="inlineStr">
        <is>
          <t>LTV (Пожизненная ценность туроператора)</t>
        </is>
      </c>
      <c r="B12" s="6" t="n">
        <v>9000</v>
      </c>
      <c r="D12" s="15" t="inlineStr">
        <is>
          <t>Итого</t>
        </is>
      </c>
      <c r="E12" s="16">
        <f>SUM(E6:E11)</f>
        <v/>
      </c>
      <c r="F12" s="17">
        <f>SUM(F6:F11)</f>
        <v/>
      </c>
    </row>
    <row r="13">
      <c r="A13" s="9" t="inlineStr">
        <is>
          <t>CAC (Стоимость привлечения туроператора)</t>
        </is>
      </c>
      <c r="B13" s="10" t="n">
        <v>1636</v>
      </c>
    </row>
    <row r="14">
      <c r="A14" s="5" t="inlineStr">
        <is>
          <t>Соотношение LTV / CAC</t>
        </is>
      </c>
      <c r="B14" s="18" t="n">
        <v>5.5</v>
      </c>
    </row>
    <row r="15">
      <c r="A15" s="9" t="inlineStr">
        <is>
          <t>Целевой регион</t>
        </is>
      </c>
      <c r="B15" s="13" t="inlineStr">
        <is>
          <t>СНГ / Узбекистан / Казахстан / Кыргызстан</t>
        </is>
      </c>
    </row>
    <row r="16">
      <c r="A16" s="5" t="inlineStr">
        <is>
          <t>Объем обслуживаемого рынка (SAM)</t>
        </is>
      </c>
      <c r="B16" s="6" t="n">
        <v>180000000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Habibi Hajj &amp; Umrah — Финансовая модель P&amp;L (12 Месяцев)</t>
        </is>
      </c>
    </row>
    <row r="2"/>
    <row r="3">
      <c r="A3" s="4" t="inlineStr">
        <is>
          <t>Показатель / Статья ($)</t>
        </is>
      </c>
      <c r="B3" s="19" t="inlineStr">
        <is>
          <t>Месяц 1</t>
        </is>
      </c>
      <c r="C3" s="19" t="inlineStr">
        <is>
          <t>Месяц 2</t>
        </is>
      </c>
      <c r="D3" s="19" t="inlineStr">
        <is>
          <t>Месяц 3</t>
        </is>
      </c>
      <c r="E3" s="19" t="inlineStr">
        <is>
          <t>Месяц 4</t>
        </is>
      </c>
      <c r="F3" s="19" t="inlineStr">
        <is>
          <t>Месяц 5</t>
        </is>
      </c>
      <c r="G3" s="19" t="inlineStr">
        <is>
          <t>Месяц 6</t>
        </is>
      </c>
      <c r="H3" s="19" t="inlineStr">
        <is>
          <t>Месяц 7</t>
        </is>
      </c>
      <c r="I3" s="19" t="inlineStr">
        <is>
          <t>Месяц 8</t>
        </is>
      </c>
      <c r="J3" s="19" t="inlineStr">
        <is>
          <t>Месяц 9</t>
        </is>
      </c>
      <c r="K3" s="19" t="inlineStr">
        <is>
          <t>Месяц 10</t>
        </is>
      </c>
      <c r="L3" s="19" t="inlineStr">
        <is>
          <t>Месяц 11</t>
        </is>
      </c>
      <c r="M3" s="19" t="inlineStr">
        <is>
          <t>Месяц 12</t>
        </is>
      </c>
      <c r="N3" s="19" t="inlineStr">
        <is>
          <t>Итого (Год 1)</t>
        </is>
      </c>
    </row>
    <row r="4">
      <c r="A4" s="20" t="inlineStr">
        <is>
          <t>1. Операционные метрики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</row>
    <row r="5">
      <c r="A5" s="5" t="inlineStr">
        <is>
          <t>Активные B2B-туроператоры (платящие)</t>
        </is>
      </c>
      <c r="B5" s="22" t="n">
        <v>2</v>
      </c>
      <c r="C5" s="22" t="n">
        <v>4</v>
      </c>
      <c r="D5" s="22" t="n">
        <v>7</v>
      </c>
      <c r="E5" s="22" t="n">
        <v>12</v>
      </c>
      <c r="F5" s="22" t="n">
        <v>18</v>
      </c>
      <c r="G5" s="22" t="n">
        <v>25</v>
      </c>
      <c r="H5" s="22" t="n">
        <v>32</v>
      </c>
      <c r="I5" s="22" t="n">
        <v>40</v>
      </c>
      <c r="J5" s="22" t="n">
        <v>48</v>
      </c>
      <c r="K5" s="22" t="n">
        <v>55</v>
      </c>
      <c r="L5" s="22" t="n">
        <v>62</v>
      </c>
      <c r="M5" s="22" t="n">
        <v>70</v>
      </c>
      <c r="N5" s="14">
        <f>MAX(B5:M5)</f>
        <v/>
      </c>
    </row>
    <row r="6">
      <c r="A6" s="20" t="inlineStr">
        <is>
          <t>2. Выручка (Revenue)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</row>
    <row r="7">
      <c r="A7" s="5" t="inlineStr">
        <is>
          <t>SaaS-подписки (Habibi Premium &amp; Plus)</t>
        </is>
      </c>
      <c r="B7" s="8" t="n">
        <v>430</v>
      </c>
      <c r="C7" s="8" t="n">
        <v>860</v>
      </c>
      <c r="D7" s="8" t="n">
        <v>1505</v>
      </c>
      <c r="E7" s="8" t="n">
        <v>2580</v>
      </c>
      <c r="F7" s="8" t="n">
        <v>3870</v>
      </c>
      <c r="G7" s="8" t="n">
        <v>5375</v>
      </c>
      <c r="H7" s="8" t="n">
        <v>6880</v>
      </c>
      <c r="I7" s="8" t="n">
        <v>8600</v>
      </c>
      <c r="J7" s="8" t="n">
        <v>10320</v>
      </c>
      <c r="K7" s="8" t="n">
        <v>11825</v>
      </c>
      <c r="L7" s="8" t="n">
        <v>13330</v>
      </c>
      <c r="M7" s="8" t="n">
        <v>15050</v>
      </c>
      <c r="N7" s="6">
        <f>SUM(B7:M7)</f>
        <v/>
      </c>
    </row>
    <row r="8">
      <c r="A8" s="5" t="inlineStr">
        <is>
          <t>Услуги настройки &amp; Онбординг (Onboarding Fee)</t>
        </is>
      </c>
      <c r="B8" s="8" t="n">
        <v>1000</v>
      </c>
      <c r="C8" s="8" t="n">
        <v>1000</v>
      </c>
      <c r="D8" s="8" t="n">
        <v>1500</v>
      </c>
      <c r="E8" s="8" t="n">
        <v>2500</v>
      </c>
      <c r="F8" s="8" t="n">
        <v>3000</v>
      </c>
      <c r="G8" s="8" t="n">
        <v>3500</v>
      </c>
      <c r="H8" s="8" t="n">
        <v>3500</v>
      </c>
      <c r="I8" s="8" t="n">
        <v>4000</v>
      </c>
      <c r="J8" s="8" t="n">
        <v>4000</v>
      </c>
      <c r="K8" s="8" t="n">
        <v>3500</v>
      </c>
      <c r="L8" s="8" t="n">
        <v>3500</v>
      </c>
      <c r="M8" s="8" t="n">
        <v>4000</v>
      </c>
      <c r="N8" s="6">
        <f>SUM(B8:M8)</f>
        <v/>
      </c>
    </row>
    <row r="9">
      <c r="A9" s="23" t="inlineStr">
        <is>
          <t>Валoвая выручка (Total Revenue)</t>
        </is>
      </c>
      <c r="B9" s="6">
        <f>B7+B8</f>
        <v/>
      </c>
      <c r="C9" s="6">
        <f>C7+C8</f>
        <v/>
      </c>
      <c r="D9" s="6">
        <f>D7+D8</f>
        <v/>
      </c>
      <c r="E9" s="6">
        <f>E7+E8</f>
        <v/>
      </c>
      <c r="F9" s="6">
        <f>F7+F8</f>
        <v/>
      </c>
      <c r="G9" s="6">
        <f>G7+G8</f>
        <v/>
      </c>
      <c r="H9" s="6">
        <f>H7+H8</f>
        <v/>
      </c>
      <c r="I9" s="6">
        <f>I7+I8</f>
        <v/>
      </c>
      <c r="J9" s="6">
        <f>J7+J8</f>
        <v/>
      </c>
      <c r="K9" s="6">
        <f>K7+K8</f>
        <v/>
      </c>
      <c r="L9" s="6">
        <f>L7+L8</f>
        <v/>
      </c>
      <c r="M9" s="6">
        <f>M7+M8</f>
        <v/>
      </c>
      <c r="N9" s="6">
        <f>SUM(B9:M9)</f>
        <v/>
      </c>
    </row>
    <row r="10">
      <c r="A10" s="20" t="inlineStr">
        <is>
          <t>3. Операционные расходы (OPEX)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</row>
    <row r="11">
      <c r="A11" s="5" t="inlineStr">
        <is>
          <t>ФОТ: R&amp;D (Разработка и Продукт)</t>
        </is>
      </c>
      <c r="B11" s="8" t="n">
        <v>5000</v>
      </c>
      <c r="C11" s="8" t="n">
        <v>5000</v>
      </c>
      <c r="D11" s="8" t="n">
        <v>5000</v>
      </c>
      <c r="E11" s="8" t="n">
        <v>5000</v>
      </c>
      <c r="F11" s="8" t="n">
        <v>5000</v>
      </c>
      <c r="G11" s="8" t="n">
        <v>5000</v>
      </c>
      <c r="H11" s="8" t="n">
        <v>5000</v>
      </c>
      <c r="I11" s="8" t="n">
        <v>5000</v>
      </c>
      <c r="J11" s="8" t="n">
        <v>5000</v>
      </c>
      <c r="K11" s="8" t="n">
        <v>5000</v>
      </c>
      <c r="L11" s="8" t="n">
        <v>5000</v>
      </c>
      <c r="M11" s="8" t="n">
        <v>5000</v>
      </c>
      <c r="N11" s="6">
        <f>SUM(B11:M11)</f>
        <v/>
      </c>
    </row>
    <row r="12">
      <c r="A12" s="5" t="inlineStr">
        <is>
          <t>ФОТ: Sales &amp; Customer Success</t>
        </is>
      </c>
      <c r="B12" s="8" t="n">
        <v>2500</v>
      </c>
      <c r="C12" s="8" t="n">
        <v>2500</v>
      </c>
      <c r="D12" s="8" t="n">
        <v>2500</v>
      </c>
      <c r="E12" s="8" t="n">
        <v>2500</v>
      </c>
      <c r="F12" s="8" t="n">
        <v>2500</v>
      </c>
      <c r="G12" s="8" t="n">
        <v>2500</v>
      </c>
      <c r="H12" s="8" t="n">
        <v>2500</v>
      </c>
      <c r="I12" s="8" t="n">
        <v>2500</v>
      </c>
      <c r="J12" s="8" t="n">
        <v>2500</v>
      </c>
      <c r="K12" s="8" t="n">
        <v>2500</v>
      </c>
      <c r="L12" s="8" t="n">
        <v>2500</v>
      </c>
      <c r="M12" s="8" t="n">
        <v>2500</v>
      </c>
      <c r="N12" s="6">
        <f>SUM(B12:M12)</f>
        <v/>
      </c>
    </row>
    <row r="13">
      <c r="A13" s="5" t="inlineStr">
        <is>
          <t>ФОТ: Административный &amp; Бухгалтерия</t>
        </is>
      </c>
      <c r="B13" s="8" t="n">
        <v>1000</v>
      </c>
      <c r="C13" s="8" t="n">
        <v>1000</v>
      </c>
      <c r="D13" s="8" t="n">
        <v>1000</v>
      </c>
      <c r="E13" s="8" t="n">
        <v>1000</v>
      </c>
      <c r="F13" s="8" t="n">
        <v>1000</v>
      </c>
      <c r="G13" s="8" t="n">
        <v>1000</v>
      </c>
      <c r="H13" s="8" t="n">
        <v>1000</v>
      </c>
      <c r="I13" s="8" t="n">
        <v>1000</v>
      </c>
      <c r="J13" s="8" t="n">
        <v>1000</v>
      </c>
      <c r="K13" s="8" t="n">
        <v>1000</v>
      </c>
      <c r="L13" s="8" t="n">
        <v>1000</v>
      </c>
      <c r="M13" s="8" t="n">
        <v>1000</v>
      </c>
      <c r="N13" s="6">
        <f>SUM(B13:M13)</f>
        <v/>
      </c>
    </row>
    <row r="14">
      <c r="A14" s="5" t="inlineStr">
        <is>
          <t>Маркетинг, B2B LeadGen &amp; Выставки</t>
        </is>
      </c>
      <c r="B14" s="8" t="n">
        <v>1500</v>
      </c>
      <c r="C14" s="8" t="n">
        <v>1500</v>
      </c>
      <c r="D14" s="8" t="n">
        <v>1750</v>
      </c>
      <c r="E14" s="8" t="n">
        <v>1750</v>
      </c>
      <c r="F14" s="8" t="n">
        <v>1750</v>
      </c>
      <c r="G14" s="8" t="n">
        <v>1750</v>
      </c>
      <c r="H14" s="8" t="n">
        <v>1750</v>
      </c>
      <c r="I14" s="8" t="n">
        <v>1750</v>
      </c>
      <c r="J14" s="8" t="n">
        <v>1750</v>
      </c>
      <c r="K14" s="8" t="n">
        <v>1750</v>
      </c>
      <c r="L14" s="8" t="n">
        <v>1750</v>
      </c>
      <c r="M14" s="8" t="n">
        <v>1750</v>
      </c>
      <c r="N14" s="6">
        <f>SUM(B14:M14)</f>
        <v/>
      </c>
    </row>
    <row r="15">
      <c r="A15" s="5" t="inlineStr">
        <is>
          <t>Инфраструктура &amp; Облачные серверы</t>
        </is>
      </c>
      <c r="B15" s="8" t="n">
        <v>1000</v>
      </c>
      <c r="C15" s="8" t="n">
        <v>1000</v>
      </c>
      <c r="D15" s="8" t="n">
        <v>1000</v>
      </c>
      <c r="E15" s="8" t="n">
        <v>1000</v>
      </c>
      <c r="F15" s="8" t="n">
        <v>1000</v>
      </c>
      <c r="G15" s="8" t="n">
        <v>1000</v>
      </c>
      <c r="H15" s="8" t="n">
        <v>1000</v>
      </c>
      <c r="I15" s="8" t="n">
        <v>1000</v>
      </c>
      <c r="J15" s="8" t="n">
        <v>1000</v>
      </c>
      <c r="K15" s="8" t="n">
        <v>1000</v>
      </c>
      <c r="L15" s="8" t="n">
        <v>1000</v>
      </c>
      <c r="M15" s="8" t="n">
        <v>1000</v>
      </c>
      <c r="N15" s="6">
        <f>SUM(B15:M15)</f>
        <v/>
      </c>
    </row>
    <row r="16">
      <c r="A16" s="5" t="inlineStr">
        <is>
          <t>Юридические услуги, SAFE &amp; Резерв</t>
        </is>
      </c>
      <c r="B16" s="8" t="n">
        <v>1250</v>
      </c>
      <c r="C16" s="8" t="n">
        <v>1250</v>
      </c>
      <c r="D16" s="8" t="n">
        <v>1250</v>
      </c>
      <c r="E16" s="8" t="n">
        <v>1250</v>
      </c>
      <c r="F16" s="8" t="n">
        <v>1250</v>
      </c>
      <c r="G16" s="8" t="n">
        <v>1250</v>
      </c>
      <c r="H16" s="8" t="n">
        <v>1250</v>
      </c>
      <c r="I16" s="8" t="n">
        <v>1250</v>
      </c>
      <c r="J16" s="8" t="n">
        <v>1250</v>
      </c>
      <c r="K16" s="8" t="n">
        <v>1250</v>
      </c>
      <c r="L16" s="8" t="n">
        <v>1250</v>
      </c>
      <c r="M16" s="8" t="n">
        <v>1250</v>
      </c>
      <c r="N16" s="6">
        <f>SUM(B16:M16)</f>
        <v/>
      </c>
    </row>
    <row r="17">
      <c r="A17" s="23" t="inlineStr">
        <is>
          <t>Итого расходы (Total OPEX)</t>
        </is>
      </c>
      <c r="B17" s="6">
        <f>SUM(B11:B16)</f>
        <v/>
      </c>
      <c r="C17" s="6">
        <f>SUM(C11:C16)</f>
        <v/>
      </c>
      <c r="D17" s="6">
        <f>SUM(D11:D16)</f>
        <v/>
      </c>
      <c r="E17" s="6">
        <f>SUM(E11:E16)</f>
        <v/>
      </c>
      <c r="F17" s="6">
        <f>SUM(F11:F16)</f>
        <v/>
      </c>
      <c r="G17" s="6">
        <f>SUM(G11:G16)</f>
        <v/>
      </c>
      <c r="H17" s="6">
        <f>SUM(H11:H16)</f>
        <v/>
      </c>
      <c r="I17" s="6">
        <f>SUM(I11:I16)</f>
        <v/>
      </c>
      <c r="J17" s="6">
        <f>SUM(J11:J16)</f>
        <v/>
      </c>
      <c r="K17" s="6">
        <f>SUM(K11:K16)</f>
        <v/>
      </c>
      <c r="L17" s="6">
        <f>SUM(L11:L16)</f>
        <v/>
      </c>
      <c r="M17" s="6">
        <f>SUM(M11:M16)</f>
        <v/>
      </c>
      <c r="N17" s="6">
        <f>SUM(B17:M17)</f>
        <v/>
      </c>
    </row>
    <row r="18">
      <c r="A18" s="20" t="inlineStr">
        <is>
          <t>4. Финансовый результат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>
      <c r="A19" s="23" t="inlineStr">
        <is>
          <t>Чистая прибыль / Убыток (Net Profit/Loss)</t>
        </is>
      </c>
      <c r="B19" s="24">
        <f>B9-B17</f>
        <v/>
      </c>
      <c r="C19" s="24">
        <f>C9-C17</f>
        <v/>
      </c>
      <c r="D19" s="24">
        <f>D9-D17</f>
        <v/>
      </c>
      <c r="E19" s="24">
        <f>E9-E17</f>
        <v/>
      </c>
      <c r="F19" s="24">
        <f>F9-F17</f>
        <v/>
      </c>
      <c r="G19" s="24">
        <f>G9-G17</f>
        <v/>
      </c>
      <c r="H19" s="24">
        <f>H9-H17</f>
        <v/>
      </c>
      <c r="I19" s="24">
        <f>I9-I17</f>
        <v/>
      </c>
      <c r="J19" s="24">
        <f>J9-J17</f>
        <v/>
      </c>
      <c r="K19" s="24">
        <f>K9-K17</f>
        <v/>
      </c>
      <c r="L19" s="24">
        <f>L9-L17</f>
        <v/>
      </c>
      <c r="M19" s="24">
        <f>M9-M17</f>
        <v/>
      </c>
      <c r="N19" s="24">
        <f>SUM(B19:M19)</f>
        <v/>
      </c>
    </row>
    <row r="20">
      <c r="A20" s="23" t="inlineStr">
        <is>
          <t>Накопленный денежный поток (Cash Balance)</t>
        </is>
      </c>
      <c r="B20" s="6">
        <f>150000+B19</f>
        <v/>
      </c>
      <c r="C20" s="6">
        <f>B20+C19</f>
        <v/>
      </c>
      <c r="D20" s="6">
        <f>C20+D19</f>
        <v/>
      </c>
      <c r="E20" s="6">
        <f>D20+E19</f>
        <v/>
      </c>
      <c r="F20" s="6">
        <f>E20+F19</f>
        <v/>
      </c>
      <c r="G20" s="6">
        <f>F20+G19</f>
        <v/>
      </c>
      <c r="H20" s="6">
        <f>G20+H19</f>
        <v/>
      </c>
      <c r="I20" s="6">
        <f>H20+I19</f>
        <v/>
      </c>
      <c r="J20" s="6">
        <f>I20+J19</f>
        <v/>
      </c>
      <c r="K20" s="6">
        <f>J20+K19</f>
        <v/>
      </c>
      <c r="L20" s="6">
        <f>K20+L19</f>
        <v/>
      </c>
      <c r="M20" s="6">
        <f>L20+M19</f>
        <v/>
      </c>
      <c r="N20" s="6">
        <f>M20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45" customWidth="1" min="4" max="4"/>
    <col width="35" customWidth="1" min="5" max="5"/>
  </cols>
  <sheetData>
    <row r="1">
      <c r="A1" s="1" t="inlineStr">
        <is>
          <t>Habibi Hajj &amp; Umrah — Тарифная сетка и Юнит-экономика</t>
        </is>
      </c>
    </row>
    <row r="2"/>
    <row r="3">
      <c r="A3" s="3" t="inlineStr">
        <is>
          <t>Тарифные планы Habibi ERP-платформы</t>
        </is>
      </c>
    </row>
    <row r="4">
      <c r="A4" s="4" t="inlineStr">
        <is>
          <t>Тарифный план</t>
        </is>
      </c>
      <c r="B4" s="4" t="inlineStr">
        <is>
          <t>Стоимость / мес.</t>
        </is>
      </c>
      <c r="C4" s="4" t="inlineStr">
        <is>
          <t>Целевая аудитория</t>
        </is>
      </c>
      <c r="D4" s="4" t="inlineStr">
        <is>
          <t>Основные возможности</t>
        </is>
      </c>
      <c r="E4" s="4" t="inlineStr">
        <is>
          <t>Ограничения</t>
        </is>
      </c>
    </row>
    <row r="5">
      <c r="A5" s="25" t="inlineStr">
        <is>
          <t>Habibi Free</t>
        </is>
      </c>
      <c r="B5" s="9" t="inlineStr">
        <is>
          <t>€0 / мес</t>
        </is>
      </c>
      <c r="C5" s="9" t="inlineStr">
        <is>
          <t>Мелкие турагенты, суб-агенты по продажам туров</t>
        </is>
      </c>
      <c r="D5" s="9" t="inlineStr">
        <is>
          <t>Базовая CRM, бронирование заявок, учёт клиентов</t>
        </is>
      </c>
      <c r="E5" s="9" t="inlineStr">
        <is>
          <t>До 2 пользователей, 100 МБ хранилища</t>
        </is>
      </c>
    </row>
    <row r="6">
      <c r="A6" s="23" t="inlineStr">
        <is>
          <t>Habibi +</t>
        </is>
      </c>
      <c r="B6" s="5" t="inlineStr">
        <is>
          <t>€49 / мес</t>
        </is>
      </c>
      <c r="C6" s="5" t="inlineStr">
        <is>
          <t>Средние турагентства и региональные операторы Умры</t>
        </is>
      </c>
      <c r="D6" s="5" t="inlineStr">
        <is>
          <t>Все 10 модулей, конструктор туров, сбор паспортов</t>
        </is>
      </c>
      <c r="E6" s="5" t="inlineStr">
        <is>
          <t>До 5 пользователей, 500 МБ хранилища</t>
        </is>
      </c>
    </row>
    <row r="7">
      <c r="A7" s="25" t="inlineStr">
        <is>
          <t>Habibi Premium</t>
        </is>
      </c>
      <c r="B7" s="9" t="inlineStr">
        <is>
          <t>€199 / мес</t>
        </is>
      </c>
      <c r="C7" s="9" t="inlineStr">
        <is>
          <t>Крупные туроператоры и паломнические центры СНГ</t>
        </is>
      </c>
      <c r="D7" s="9" t="inlineStr">
        <is>
          <t>Всё из «Habibi +», персональное сопровождение, мультивалютность, интеграции</t>
        </is>
      </c>
      <c r="E7" s="9" t="inlineStr">
        <is>
          <t>Без ограничений по пользователям, 1 ГБ хранилища</t>
        </is>
      </c>
    </row>
    <row r="8">
      <c r="A8" s="23" t="inlineStr">
        <is>
          <t>Enterprise / Custom</t>
        </is>
      </c>
      <c r="B8" s="5" t="inlineStr">
        <is>
          <t>Custom ($2k-$5k)</t>
        </is>
      </c>
      <c r="C8" s="5" t="inlineStr">
        <is>
          <t>Крупные паломнические хабы и сетевые туроператоры</t>
        </is>
      </c>
      <c r="D8" s="5" t="inlineStr">
        <is>
          <t>Индивидуальные интеграции (визовые сервисы, авиабилеты), персональное приложение гида</t>
        </is>
      </c>
      <c r="E8" s="5" t="inlineStr">
        <is>
          <t>Индивидуальный контракт</t>
        </is>
      </c>
    </row>
    <row r="9"/>
    <row r="10"/>
    <row r="11">
      <c r="A11" s="3" t="inlineStr">
        <is>
          <t>Расчет ключевых показателей юнит-экономики</t>
        </is>
      </c>
    </row>
    <row r="12">
      <c r="A12" s="4" t="inlineStr">
        <is>
          <t>Метрика</t>
        </is>
      </c>
      <c r="B12" s="4" t="inlineStr">
        <is>
          <t>Значение</t>
        </is>
      </c>
      <c r="C12" s="4" t="inlineStr">
        <is>
          <t>Пояснение / Формула</t>
        </is>
      </c>
    </row>
    <row r="13">
      <c r="A13" s="9" t="inlineStr">
        <is>
          <t>Средний доход с платящего туроператора в месяц (ARPU)</t>
        </is>
      </c>
      <c r="B13" s="10" t="n">
        <v>250</v>
      </c>
      <c r="C13" s="26" t="inlineStr">
        <is>
          <t>Комбинация Premium-подписок ($215) и амортизации услуг настройки</t>
        </is>
      </c>
    </row>
    <row r="14">
      <c r="A14" s="5" t="inlineStr">
        <is>
          <t>Средний срок жизни клиента (Customer Lifetime)</t>
        </is>
      </c>
      <c r="B14" s="27" t="n">
        <v>36</v>
      </c>
      <c r="C14" s="28" t="inlineStr">
        <is>
          <t>Высокая 'липкость' ERP-системы в бизнесе туроператоров</t>
        </is>
      </c>
    </row>
    <row r="15">
      <c r="A15" s="9" t="inlineStr">
        <is>
          <t>Годовой отток клиентов (Annual Churn Rate)</t>
        </is>
      </c>
      <c r="B15" s="29" t="n">
        <v>0.05</v>
      </c>
      <c r="C15" s="26" t="inlineStr">
        <is>
          <t>Отказ менее 5% туроператоров в год благодаря глубокой интеграции</t>
        </is>
      </c>
    </row>
    <row r="16">
      <c r="A16" s="5" t="inlineStr">
        <is>
          <t>Пожизненная ценность туроператора (LTV)</t>
        </is>
      </c>
      <c r="B16" s="6" t="n">
        <v>9000</v>
      </c>
      <c r="C16" s="28" t="inlineStr">
        <is>
          <t>Расчет: ARPU * 36 месяцев</t>
        </is>
      </c>
    </row>
    <row r="17">
      <c r="A17" s="9" t="inlineStr">
        <is>
          <t>Стоимость привлечения туроператора (CAC)</t>
        </is>
      </c>
      <c r="B17" s="10" t="n">
        <v>1636</v>
      </c>
      <c r="C17" s="26" t="inlineStr">
        <is>
          <t>Расчет: Бюджет Sales &amp; Marketing ($102k) / 62 платящих клиента</t>
        </is>
      </c>
    </row>
    <row r="18">
      <c r="A18" s="5" t="inlineStr">
        <is>
          <t>Соотношение LTV / CAC</t>
        </is>
      </c>
      <c r="B18" s="18" t="n">
        <v>5.5</v>
      </c>
      <c r="C18" s="28" t="inlineStr">
        <is>
          <t>Показатель эффективности &gt; 3x считается отличным для B2B SaaS</t>
        </is>
      </c>
    </row>
    <row r="19">
      <c r="A19" s="9" t="inlineStr">
        <is>
          <t>Срок окупаемости привлечения туроператора (Payback Period)</t>
        </is>
      </c>
      <c r="B19" s="30" t="n">
        <v>6.5</v>
      </c>
      <c r="C19" s="26" t="inlineStr">
        <is>
          <t>Расчет: CAC / ARPU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2026-08-02T21:24:53Z</dcterms:created>
  <dcterms:modified xmlns:dcterms="http://purl.org/dc/terms/" xmlns:xsi="http://www.w3.org/2001/XMLSchema-instance" xsi:type="dcterms:W3CDTF">2026-08-02T21:24:53Z</dcterms:modified>
</cp:coreProperties>
</file>